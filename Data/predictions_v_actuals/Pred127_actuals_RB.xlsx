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18D24944-330A-40C4-9F6F-92881C10EE8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1" l="1"/>
  <c r="J63" i="1"/>
  <c r="I75" i="1"/>
  <c r="I63" i="1"/>
</calcChain>
</file>

<file path=xl/sharedStrings.xml><?xml version="1.0" encoding="utf-8"?>
<sst xmlns="http://schemas.openxmlformats.org/spreadsheetml/2006/main" count="975" uniqueCount="611">
  <si>
    <t>Player</t>
  </si>
  <si>
    <t>Max_Team_Name</t>
  </si>
  <si>
    <t>Pos_x</t>
  </si>
  <si>
    <t>Current_Year</t>
  </si>
  <si>
    <t>Rank_pred_pos</t>
  </si>
  <si>
    <t>y_hat</t>
  </si>
  <si>
    <t>Kyler Murray</t>
  </si>
  <si>
    <t>Cardinals</t>
  </si>
  <si>
    <t>QB</t>
  </si>
  <si>
    <t>Aaron Rodgers</t>
  </si>
  <si>
    <t>Packers</t>
  </si>
  <si>
    <t>Lamar Jackson</t>
  </si>
  <si>
    <t>Ravens</t>
  </si>
  <si>
    <t>Patrick Mahomes</t>
  </si>
  <si>
    <t>Chiefs</t>
  </si>
  <si>
    <t>Russell Wilson</t>
  </si>
  <si>
    <t>Seahawks</t>
  </si>
  <si>
    <t>Ryan Tannehill</t>
  </si>
  <si>
    <t>Titans</t>
  </si>
  <si>
    <t>Josh Allen</t>
  </si>
  <si>
    <t>Bills</t>
  </si>
  <si>
    <t>Tom Brady</t>
  </si>
  <si>
    <t>Buccaneers</t>
  </si>
  <si>
    <t>Justin Herbert</t>
  </si>
  <si>
    <t>Chargers</t>
  </si>
  <si>
    <t>Kirk Cousins</t>
  </si>
  <si>
    <t>Vikings</t>
  </si>
  <si>
    <t>Derek Carr</t>
  </si>
  <si>
    <t>Raiders</t>
  </si>
  <si>
    <t>Matt Ryan</t>
  </si>
  <si>
    <t>Falcons</t>
  </si>
  <si>
    <t>Jared Goff</t>
  </si>
  <si>
    <t>Lions</t>
  </si>
  <si>
    <t>Teddy Bridgewater</t>
  </si>
  <si>
    <t>Broncos</t>
  </si>
  <si>
    <t>Baker Mayfield</t>
  </si>
  <si>
    <t>Browns</t>
  </si>
  <si>
    <t>Marcus Mariota</t>
  </si>
  <si>
    <t>Cam Newton</t>
  </si>
  <si>
    <t>Panthers</t>
  </si>
  <si>
    <t>Ben Roethlisberger</t>
  </si>
  <si>
    <t>Steelers</t>
  </si>
  <si>
    <t>Matthew Stafford</t>
  </si>
  <si>
    <t>Rams</t>
  </si>
  <si>
    <t>Carson Wentz</t>
  </si>
  <si>
    <t>Colts</t>
  </si>
  <si>
    <t>Joe Burrow</t>
  </si>
  <si>
    <t>Bengals</t>
  </si>
  <si>
    <t>Dak Prescott</t>
  </si>
  <si>
    <t>Cowboys</t>
  </si>
  <si>
    <t>Gardner Minshew</t>
  </si>
  <si>
    <t>Eagles</t>
  </si>
  <si>
    <t>Drew Lock</t>
  </si>
  <si>
    <t>Andy Dalton</t>
  </si>
  <si>
    <t>Bears</t>
  </si>
  <si>
    <t>Tua Tagovailoa</t>
  </si>
  <si>
    <t>Dolphins</t>
  </si>
  <si>
    <t>Daniel Jones</t>
  </si>
  <si>
    <t>Giants</t>
  </si>
  <si>
    <t>Nick Foles</t>
  </si>
  <si>
    <t>Nick Mullens</t>
  </si>
  <si>
    <t>Jimmy Garoppolo</t>
  </si>
  <si>
    <t>49ers</t>
  </si>
  <si>
    <t>Jalen Hurts</t>
  </si>
  <si>
    <t>Mike Glennon</t>
  </si>
  <si>
    <t>Jameis Winston</t>
  </si>
  <si>
    <t>Saints</t>
  </si>
  <si>
    <t>Brandon Allen</t>
  </si>
  <si>
    <t>Tyler Huntley</t>
  </si>
  <si>
    <t>Sam Darnold</t>
  </si>
  <si>
    <t>Tim Boyle</t>
  </si>
  <si>
    <t>Geno Smith</t>
  </si>
  <si>
    <t>Tyrod Taylor</t>
  </si>
  <si>
    <t>Texans</t>
  </si>
  <si>
    <t>Jacoby Brissett</t>
  </si>
  <si>
    <t>Case Keenum</t>
  </si>
  <si>
    <t>Taysom Hill</t>
  </si>
  <si>
    <t>Kyle Allen</t>
  </si>
  <si>
    <t>Football Team</t>
  </si>
  <si>
    <t>Mason Rudolph</t>
  </si>
  <si>
    <t>Taylor Heinicke</t>
  </si>
  <si>
    <t>Brian Hoyer</t>
  </si>
  <si>
    <t>Patriots</t>
  </si>
  <si>
    <t>Joe Flacco</t>
  </si>
  <si>
    <t>Jets</t>
  </si>
  <si>
    <t>Colt McCoy</t>
  </si>
  <si>
    <t>Trevor Siemian</t>
  </si>
  <si>
    <t>Sean Mannion</t>
  </si>
  <si>
    <t>Derrick Henry</t>
  </si>
  <si>
    <t>RB</t>
  </si>
  <si>
    <t>Dalvin Cook</t>
  </si>
  <si>
    <t>Alvin Kamara</t>
  </si>
  <si>
    <t>Joe Mixon</t>
  </si>
  <si>
    <t>Aaron Jones</t>
  </si>
  <si>
    <t>David Montgomery</t>
  </si>
  <si>
    <t>Jonathan Taylor</t>
  </si>
  <si>
    <t>James Robinson</t>
  </si>
  <si>
    <t>Jaguars</t>
  </si>
  <si>
    <t>Antonio Gibson</t>
  </si>
  <si>
    <t>Austin Ekeler</t>
  </si>
  <si>
    <t>James Conner</t>
  </si>
  <si>
    <t>Christian McCaffrey</t>
  </si>
  <si>
    <t>Nick Chubb</t>
  </si>
  <si>
    <t>Clyde Edwards-Helaire</t>
  </si>
  <si>
    <t>Leonard Fournette</t>
  </si>
  <si>
    <t>Myles Gaskin</t>
  </si>
  <si>
    <t>D'Andre Swift</t>
  </si>
  <si>
    <t>Josh Jacobs</t>
  </si>
  <si>
    <t>Ezekiel Elliott</t>
  </si>
  <si>
    <t>Mike Davis</t>
  </si>
  <si>
    <t>Melvin Gordon</t>
  </si>
  <si>
    <t>Kenyan Drake</t>
  </si>
  <si>
    <t>Kareem Hunt</t>
  </si>
  <si>
    <t>Miles Sanders</t>
  </si>
  <si>
    <t>Nyheim Hines</t>
  </si>
  <si>
    <t>Devin Singletary</t>
  </si>
  <si>
    <t>Damien Harris</t>
  </si>
  <si>
    <t>Saquon Barkley</t>
  </si>
  <si>
    <t>Chase Edmonds</t>
  </si>
  <si>
    <t>Tony Pollard</t>
  </si>
  <si>
    <t>Rex Burkhead</t>
  </si>
  <si>
    <t>Darrell Henderson</t>
  </si>
  <si>
    <t>Latavius Murray</t>
  </si>
  <si>
    <t>Brandon Bolden</t>
  </si>
  <si>
    <t>Ty Johnson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</si>
  <si>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</si>
  <si>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</si>
  <si>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</si>
  <si>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</si>
  <si>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</si>
  <si>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</si>
  <si>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</si>
  <si>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</si>
  <si>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</si>
  <si>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</si>
  <si>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</si>
  <si>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</si>
  <si>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Alexander Mattison</t>
  </si>
  <si>
    <t>AJ Dillon</t>
  </si>
  <si>
    <t>D'Ernest Johnson</t>
  </si>
  <si>
    <t>Travis Kelce</t>
  </si>
  <si>
    <t>TE</t>
  </si>
  <si>
    <t>Mark Andrews</t>
  </si>
  <si>
    <t>Darren Waller</t>
  </si>
  <si>
    <t>Rob Gronkowski</t>
  </si>
  <si>
    <t>Dallas Goedert</t>
  </si>
  <si>
    <t>Mike Gesicki</t>
  </si>
  <si>
    <t>T.J. Hockenson</t>
  </si>
  <si>
    <t>George Kittle</t>
  </si>
  <si>
    <t>Jimmy Graham</t>
  </si>
  <si>
    <t>Logan Thomas</t>
  </si>
  <si>
    <t>Noah Fant</t>
  </si>
  <si>
    <t>Dalton Schultz</t>
  </si>
  <si>
    <t>Robert Tonyan</t>
  </si>
  <si>
    <t>Tyler Higbee</t>
  </si>
  <si>
    <t>Eric Ebron</t>
  </si>
  <si>
    <t>Hunter Henry</t>
  </si>
  <si>
    <t>Hayden Hurst</t>
  </si>
  <si>
    <t>Jared Cook</t>
  </si>
  <si>
    <t>Mo Alie-Cox</t>
  </si>
  <si>
    <t>Anthony Firkser</t>
  </si>
  <si>
    <t>Harrison Bryant</t>
  </si>
  <si>
    <t>Tyler Kroft</t>
  </si>
  <si>
    <t>C.J. Uzomah</t>
  </si>
  <si>
    <t>O.J. Howard</t>
  </si>
  <si>
    <t>Austin Hooper</t>
  </si>
  <si>
    <t>Albert Okwuegbunam</t>
  </si>
  <si>
    <t>Dawson Knox</t>
  </si>
  <si>
    <t>Evan Engram</t>
  </si>
  <si>
    <t>Jack Doyle</t>
  </si>
  <si>
    <t>Cameron Brate</t>
  </si>
  <si>
    <t>James O'Shaughnessy</t>
  </si>
  <si>
    <t>Ross Dwelley</t>
  </si>
  <si>
    <t>Cole Kmet</t>
  </si>
  <si>
    <t>Durham Smythe</t>
  </si>
  <si>
    <t>David Njoku</t>
  </si>
  <si>
    <t>Donald Parham</t>
  </si>
  <si>
    <t>Tyler Conklin</t>
  </si>
  <si>
    <t>Blake Jarwin</t>
  </si>
  <si>
    <t>Adam Trautman</t>
  </si>
  <si>
    <t>Geoff Swaim</t>
  </si>
  <si>
    <t>Foster Moreau</t>
  </si>
  <si>
    <t>Jesse James</t>
  </si>
  <si>
    <t>Nick Vannett</t>
  </si>
  <si>
    <t>Gerald Everett</t>
  </si>
  <si>
    <t>Josiah Deguara</t>
  </si>
  <si>
    <t>Ryan Griffin</t>
  </si>
  <si>
    <t>MyCole Pruitt</t>
  </si>
  <si>
    <t>Jesper Horsted</t>
  </si>
  <si>
    <t>Ricky Seals-Jones</t>
  </si>
  <si>
    <t>Maxx Williams</t>
  </si>
  <si>
    <t>Stefon Diggs</t>
  </si>
  <si>
    <t>WR</t>
  </si>
  <si>
    <t>Davante Adams</t>
  </si>
  <si>
    <t>DeAndre Hopkins</t>
  </si>
  <si>
    <t>Tyreek Hill</t>
  </si>
  <si>
    <t>Mike Evans</t>
  </si>
  <si>
    <t>Chris Godwin</t>
  </si>
  <si>
    <t>Justin Jefferson</t>
  </si>
  <si>
    <t>D.K. Metcalf</t>
  </si>
  <si>
    <t>Brandon Aiyuk</t>
  </si>
  <si>
    <t>Cooper Kupp</t>
  </si>
  <si>
    <t>CeeDee Lamb</t>
  </si>
  <si>
    <t>Robert Woods</t>
  </si>
  <si>
    <t>Keenan Allen</t>
  </si>
  <si>
    <t>A.J. Brown</t>
  </si>
  <si>
    <t>Amari Cooper</t>
  </si>
  <si>
    <t>Chase Claypool</t>
  </si>
  <si>
    <t>Diontae Johnson</t>
  </si>
  <si>
    <t>Tee Higgins</t>
  </si>
  <si>
    <t>Terry McLaurin</t>
  </si>
  <si>
    <t>D.J. Moore</t>
  </si>
  <si>
    <t>Marvin Jones</t>
  </si>
  <si>
    <t>Brandin Cooks</t>
  </si>
  <si>
    <t>Jarvis Landry</t>
  </si>
  <si>
    <t>Emmanuel Sanders</t>
  </si>
  <si>
    <t>Adam Thielen</t>
  </si>
  <si>
    <t>Tyler Lockett</t>
  </si>
  <si>
    <t>Tyler Boyd</t>
  </si>
  <si>
    <t>Robby Anderson</t>
  </si>
  <si>
    <t>Deebo Samuel</t>
  </si>
  <si>
    <t>Cole Beasley</t>
  </si>
  <si>
    <t>Darnell Mooney</t>
  </si>
  <si>
    <t>Russell Gage</t>
  </si>
  <si>
    <t>Marquise Brown</t>
  </si>
  <si>
    <t>Christian Kirk</t>
  </si>
  <si>
    <t>Gabriel Davis</t>
  </si>
  <si>
    <t>Jakobi Meyers</t>
  </si>
  <si>
    <t>A.J. Green</t>
  </si>
  <si>
    <t>Mike Williams</t>
  </si>
  <si>
    <t>Michael Pittman</t>
  </si>
  <si>
    <t>Van Jefferson</t>
  </si>
  <si>
    <t>Tim Patrick</t>
  </si>
  <si>
    <t>Marquez Callaway</t>
  </si>
  <si>
    <t>Courtland Sutton</t>
  </si>
  <si>
    <t>Mecole Hardman</t>
  </si>
  <si>
    <t>Cedrick Wilson</t>
  </si>
  <si>
    <t>Hunter Renfrow</t>
  </si>
  <si>
    <t>Byron Pringle</t>
  </si>
  <si>
    <t>Kalif Raymond</t>
  </si>
  <si>
    <t>Allen Lazard</t>
  </si>
  <si>
    <t>Kendrick Bourne</t>
  </si>
  <si>
    <t>Cameron Batson</t>
  </si>
  <si>
    <t>Chester Rogers</t>
  </si>
  <si>
    <t>Cody Hollister</t>
  </si>
  <si>
    <t>Darrynton Evans</t>
  </si>
  <si>
    <t>Dez Fitzpatrick</t>
  </si>
  <si>
    <t>Dontrell Hilliard</t>
  </si>
  <si>
    <t>Jeremy McNichols</t>
  </si>
  <si>
    <t>Julio Jones</t>
  </si>
  <si>
    <t>Khari Blasingame</t>
  </si>
  <si>
    <t>Logan Woodside</t>
  </si>
  <si>
    <t>Marcus Johnson</t>
  </si>
  <si>
    <t>Racey McMath</t>
  </si>
  <si>
    <t>Tommy Hudson</t>
  </si>
  <si>
    <t>Andy Isabella</t>
  </si>
  <si>
    <t>Antoine Wesley</t>
  </si>
  <si>
    <t>Chris Streveler</t>
  </si>
  <si>
    <t>Darrell Daniels</t>
  </si>
  <si>
    <t>Demetrius Harris</t>
  </si>
  <si>
    <t>Eno Benjamin</t>
  </si>
  <si>
    <t>Greg Dortch</t>
  </si>
  <si>
    <t>Jonathan Ward</t>
  </si>
  <si>
    <t>Rondale Moore</t>
  </si>
  <si>
    <t>Amari Rodgers</t>
  </si>
  <si>
    <t>Dominique Dafney</t>
  </si>
  <si>
    <t>Equanimeous St. Brown</t>
  </si>
  <si>
    <t>Jordan Love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</si>
  <si>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</si>
  <si>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</si>
  <si>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</si>
  <si>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</si>
  <si>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</si>
  <si>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</si>
  <si>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</si>
  <si>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</si>
  <si>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Tyler Davis</t>
  </si>
  <si>
    <t>Adam Humphries</t>
  </si>
  <si>
    <t>Cam Sims</t>
  </si>
  <si>
    <t>Curtis Samuel</t>
  </si>
  <si>
    <t>Dax Milne</t>
  </si>
  <si>
    <t>DeAndre Carter</t>
  </si>
  <si>
    <t>Dyami Brown</t>
  </si>
  <si>
    <t>Garrett Gilbert</t>
  </si>
  <si>
    <t>Jaret Patterson</t>
  </si>
  <si>
    <t>John Bates</t>
  </si>
  <si>
    <t>Jonathan Williams</t>
  </si>
  <si>
    <t>Ryan Fitzpatrick</t>
  </si>
  <si>
    <t>Wendell Smallwood</t>
  </si>
  <si>
    <t>Adam Prentice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</si>
  <si>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</si>
  <si>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</si>
  <si>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</si>
  <si>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</si>
  <si>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</si>
  <si>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</si>
  <si>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</si>
  <si>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</si>
  <si>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Kenny Stills</t>
  </si>
  <si>
    <t>Kevin White</t>
  </si>
  <si>
    <t>Lil'Jordan Humphrey</t>
  </si>
  <si>
    <t>Tony Jones</t>
  </si>
  <si>
    <t>Tre'Quan Smith</t>
  </si>
  <si>
    <t>Ty Montgomery</t>
  </si>
  <si>
    <t>Adam Shaheen</t>
  </si>
  <si>
    <t>Albert Wilson</t>
  </si>
  <si>
    <t>Cethan Carter</t>
  </si>
  <si>
    <t>DeVante Parker</t>
  </si>
  <si>
    <t>Duke Johnson</t>
  </si>
  <si>
    <t>Hunter Long</t>
  </si>
  <si>
    <t>Isaiah Ford</t>
  </si>
  <si>
    <t>Jaylen Waddle</t>
  </si>
  <si>
    <t>Kirk Merritt</t>
  </si>
  <si>
    <t>Mack Hollins</t>
  </si>
  <si>
    <t>Malcolm Brown</t>
  </si>
  <si>
    <t>Patrick Laird</t>
  </si>
  <si>
    <t>Preston Williams</t>
  </si>
  <si>
    <t>Salvon Ahmed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</si>
  <si>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</si>
  <si>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</si>
  <si>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</si>
  <si>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</si>
  <si>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</si>
  <si>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</si>
  <si>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</si>
  <si>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</si>
  <si>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</si>
  <si>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</si>
  <si>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Brett Rypien</t>
  </si>
  <si>
    <t>Damarea Crockett</t>
  </si>
  <si>
    <t>Diontae Spencer</t>
  </si>
  <si>
    <t>Eric Saubert</t>
  </si>
  <si>
    <t>Javonte Williams</t>
  </si>
  <si>
    <t>Jerry Jeudy</t>
  </si>
  <si>
    <t>KJ Hamler</t>
  </si>
  <si>
    <t>Kendall Hinton</t>
  </si>
  <si>
    <t>Mike Boone</t>
  </si>
  <si>
    <t>Seth Williams</t>
  </si>
  <si>
    <t>Alec Ingold</t>
  </si>
  <si>
    <t>Bryan Edwards</t>
  </si>
  <si>
    <t>Daniel Helm</t>
  </si>
  <si>
    <t>Derek Carrier</t>
  </si>
  <si>
    <t>Henry Ruggs</t>
  </si>
  <si>
    <t>Jalen Richard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</si>
  <si>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</si>
  <si>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</si>
  <si>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</si>
  <si>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</si>
  <si>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</si>
  <si>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</si>
  <si>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</si>
  <si>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</si>
  <si>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</si>
  <si>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Darius Slayton</t>
  </si>
  <si>
    <t>David Sills</t>
  </si>
  <si>
    <t>Elijhaa Penny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</si>
  <si>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</si>
  <si>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</si>
  <si>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</si>
  <si>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</si>
  <si>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</si>
  <si>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</si>
  <si>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</si>
  <si>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Pharoh Cooper</t>
  </si>
  <si>
    <t>Sterling Shepard</t>
  </si>
  <si>
    <t>Alex Collins</t>
  </si>
  <si>
    <t>Chris Carson</t>
  </si>
  <si>
    <t>Colby Parkinson</t>
  </si>
  <si>
    <t>D'Wayne Eskridge</t>
  </si>
  <si>
    <t>DeeJay Dallas</t>
  </si>
  <si>
    <t>Freddie Swain</t>
  </si>
  <si>
    <t>Penny Hart</t>
  </si>
  <si>
    <t>Travis Homer</t>
  </si>
  <si>
    <t>Will Dissly</t>
  </si>
  <si>
    <t>Alex Erickson</t>
  </si>
  <si>
    <t>Brandon Zylstra</t>
  </si>
  <si>
    <t>C.J. Saunders</t>
  </si>
  <si>
    <t>Chuba Hubbard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</si>
  <si>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</si>
  <si>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</si>
  <si>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</si>
  <si>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</si>
  <si>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</si>
  <si>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</si>
  <si>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</si>
  <si>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</si>
  <si>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Damien Williams</t>
  </si>
  <si>
    <t>Damiere Byrd</t>
  </si>
  <si>
    <t>Dazz Newsome</t>
  </si>
  <si>
    <t>Justin Fields</t>
  </si>
  <si>
    <t>Khalil Herbert</t>
  </si>
  <si>
    <t>Marquise Goodwin</t>
  </si>
  <si>
    <t>Ryan Nall</t>
  </si>
  <si>
    <t>Cooper Rush</t>
  </si>
  <si>
    <t>Corey Clement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</si>
  <si>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</si>
  <si>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</si>
  <si>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</si>
  <si>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</si>
  <si>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</si>
  <si>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</si>
  <si>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</si>
  <si>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Amon-Ra St. Brown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</si>
  <si>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</si>
  <si>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</si>
  <si>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</si>
  <si>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</si>
  <si>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</si>
  <si>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</si>
  <si>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</si>
  <si>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Quintez Cephus</t>
  </si>
  <si>
    <t>Shane Zylstra</t>
  </si>
  <si>
    <t>Tom Kennedy</t>
  </si>
  <si>
    <t>Trinity Benson</t>
  </si>
  <si>
    <t>Tyrell Williams</t>
  </si>
  <si>
    <t>Andy Janovich</t>
  </si>
  <si>
    <t>Anthony Schwartz</t>
  </si>
  <si>
    <t>Demetric Felton</t>
  </si>
  <si>
    <t>Donovan Peoples-Jones</t>
  </si>
  <si>
    <t>Ja'Marcus Bradley</t>
  </si>
  <si>
    <t>John Kelly</t>
  </si>
  <si>
    <t>Johnny Stanton</t>
  </si>
  <si>
    <t>Rashard Higgins</t>
  </si>
  <si>
    <t>Anthony McFarland</t>
  </si>
  <si>
    <t>Benny Snell</t>
  </si>
  <si>
    <t>Cody White</t>
  </si>
  <si>
    <t>Derek Watt</t>
  </si>
  <si>
    <t>James Washington</t>
  </si>
  <si>
    <t>JuJu Smith-Schuster</t>
  </si>
  <si>
    <t>Kalen Ballage</t>
  </si>
  <si>
    <t>Kevin Rader</t>
  </si>
  <si>
    <t>Najee Harris</t>
  </si>
  <si>
    <t>Pat Freiermuth</t>
  </si>
  <si>
    <t>Ray-Ray McCloud</t>
  </si>
  <si>
    <t>Zach Gentry</t>
  </si>
  <si>
    <t>Antonio Brown</t>
  </si>
  <si>
    <t>Blaine Gabbert</t>
  </si>
  <si>
    <t>Breshad Perriman</t>
  </si>
  <si>
    <t>Cyril Grayson</t>
  </si>
  <si>
    <t>Deon Yelder</t>
  </si>
  <si>
    <t>Giovani Bernard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</si>
  <si>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</si>
  <si>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</si>
  <si>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</si>
  <si>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</si>
  <si>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</si>
  <si>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</si>
  <si>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</si>
  <si>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</si>
  <si>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</si>
  <si>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</si>
  <si>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</si>
  <si>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</si>
  <si>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</si>
  <si>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</si>
  <si>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</si>
  <si>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</si>
  <si>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</si>
  <si>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</si>
  <si>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Scottie Phillips</t>
  </si>
  <si>
    <t>Ashton Dulin</t>
  </si>
  <si>
    <t>Deon Jackson</t>
  </si>
  <si>
    <t>Dezmon Patmon</t>
  </si>
  <si>
    <t>Jacob Eason</t>
  </si>
  <si>
    <t>Keke Coutee</t>
  </si>
  <si>
    <t>Kylen Granson</t>
  </si>
  <si>
    <t>Marlon Mack</t>
  </si>
  <si>
    <t>Mike Strachan</t>
  </si>
  <si>
    <t>Parris Campbell</t>
  </si>
  <si>
    <t>Sam Ehlinger</t>
  </si>
  <si>
    <t>T.Y. Hilton</t>
  </si>
  <si>
    <t>Zach Pascal</t>
  </si>
  <si>
    <t>Auden Tate</t>
  </si>
  <si>
    <t>Chris Evans</t>
  </si>
  <si>
    <t>Drew Sample</t>
  </si>
  <si>
    <t>Ja'Marr Chase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</si>
  <si>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</si>
  <si>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</si>
  <si>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</si>
  <si>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</si>
  <si>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</si>
  <si>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</si>
  <si>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</si>
  <si>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Gabe Nabers</t>
  </si>
  <si>
    <t>Jalen Guyton</t>
  </si>
  <si>
    <t>Jason Moore</t>
  </si>
  <si>
    <t>Josh Palmer</t>
  </si>
  <si>
    <t>Joshua Kelley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</si>
  <si>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</si>
  <si>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</si>
  <si>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</si>
  <si>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</si>
  <si>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</si>
  <si>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</si>
  <si>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</si>
  <si>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</si>
  <si>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</si>
  <si>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</si>
  <si>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</si>
  <si>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</si>
  <si>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</si>
  <si>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Keelan Cole</t>
  </si>
  <si>
    <t>Kenny Yeboah</t>
  </si>
  <si>
    <t>La'Mical Perine</t>
  </si>
  <si>
    <t>Michael Carter</t>
  </si>
  <si>
    <t>Mike White</t>
  </si>
  <si>
    <t>Nick Bawden</t>
  </si>
  <si>
    <t>Tarik Black</t>
  </si>
  <si>
    <t>Tevin Coleman</t>
  </si>
  <si>
    <t>Trevon Wesco</t>
  </si>
  <si>
    <t>Zach Wilson</t>
  </si>
  <si>
    <t>Ben Skowronek</t>
  </si>
  <si>
    <t>Brycen Hopkins</t>
  </si>
  <si>
    <t>Buddy Howell</t>
  </si>
  <si>
    <t>Cam Akers</t>
  </si>
  <si>
    <t>Jake Funk</t>
  </si>
  <si>
    <t>John Wolford</t>
  </si>
  <si>
    <t>Johnny Mundt</t>
  </si>
  <si>
    <t>Kendall Blanton</t>
  </si>
  <si>
    <t>Blake Bell</t>
  </si>
  <si>
    <t>Chad Henne</t>
  </si>
  <si>
    <t>Demarcus Robinson</t>
  </si>
  <si>
    <t>Derrick Gore</t>
  </si>
  <si>
    <t>Jerick McKinnon</t>
  </si>
  <si>
    <t>Joe Fortson</t>
  </si>
  <si>
    <t>Josh Gordon</t>
  </si>
  <si>
    <t>Marcus Kemp</t>
  </si>
  <si>
    <t>Michael Burton</t>
  </si>
  <si>
    <t>Noah Gray</t>
  </si>
  <si>
    <t>DeVonta Smith</t>
  </si>
  <si>
    <t>Greg Ward</t>
  </si>
  <si>
    <t>JJ Arcega-Whiteside</t>
  </si>
  <si>
    <t>Jack Stoll</t>
  </si>
  <si>
    <t>Jalen Reagor</t>
  </si>
  <si>
    <t>Jason Huntley</t>
  </si>
  <si>
    <t>Jordan Howard</t>
  </si>
  <si>
    <t>Kenneth Gainwell</t>
  </si>
  <si>
    <t>Quez Watkins</t>
  </si>
  <si>
    <t>Richard Rodgers</t>
  </si>
  <si>
    <t>Tyree Jackson</t>
  </si>
  <si>
    <t>Charlie Woerner</t>
  </si>
  <si>
    <t>Elijah Mitchell</t>
  </si>
  <si>
    <t>Jacques Patrick</t>
  </si>
  <si>
    <t>Jamycal Hasty</t>
  </si>
  <si>
    <t>Jauan Jennings</t>
  </si>
  <si>
    <t>Jeff Wilson</t>
  </si>
  <si>
    <t>Kyle Juszczyk</t>
  </si>
  <si>
    <t>Mohamed Sanu</t>
  </si>
  <si>
    <t>Raheem Mostert</t>
  </si>
  <si>
    <t>Trent Sherfield</t>
  </si>
  <si>
    <t>Trey Lance</t>
  </si>
  <si>
    <t>Trey Sermon</t>
  </si>
  <si>
    <t>Gunner Olszewski</t>
  </si>
  <si>
    <t>J.J. Taylor</t>
  </si>
  <si>
    <t>Jakob Johnson</t>
  </si>
  <si>
    <t>James White</t>
  </si>
  <si>
    <t>Jonnu Smith</t>
  </si>
  <si>
    <t>Kristian Wilkerson</t>
  </si>
  <si>
    <t>Mac Jones</t>
  </si>
  <si>
    <t>N'Keal Harry</t>
  </si>
  <si>
    <t>Nelson Agholor</t>
  </si>
  <si>
    <t>Rhamondre Stevenson</t>
  </si>
  <si>
    <t>C.J. Beathard</t>
  </si>
  <si>
    <t>Carlos Hyde</t>
  </si>
  <si>
    <t>Chris Manhertz</t>
  </si>
  <si>
    <t>DJ Chark</t>
  </si>
  <si>
    <t>Dare Ogunbowale</t>
  </si>
  <si>
    <t>Jacob Hollister</t>
  </si>
  <si>
    <t>Jamal Agnew</t>
  </si>
  <si>
    <t>Laquon Treadwell</t>
  </si>
  <si>
    <t>Laviska Shenault</t>
  </si>
  <si>
    <t>Luke Farrell</t>
  </si>
  <si>
    <t>Nathan Cottrell</t>
  </si>
  <si>
    <t>Ryquell Armstead</t>
  </si>
  <si>
    <t>Tavon Austin</t>
  </si>
  <si>
    <t>Trevor Lawrence</t>
  </si>
  <si>
    <t>Calvin Ridley</t>
  </si>
  <si>
    <t>Christian Blake</t>
  </si>
  <si>
    <t>Cordarrelle Patterson</t>
  </si>
  <si>
    <t>Feleipe Franks</t>
  </si>
  <si>
    <t>Frank Darby</t>
  </si>
  <si>
    <t>Josh Rosen</t>
  </si>
  <si>
    <t>Keith Smith</t>
  </si>
  <si>
    <t>Kyle Pitts</t>
  </si>
  <si>
    <t>Lee Smith</t>
  </si>
  <si>
    <t>Marvin Hall</t>
  </si>
  <si>
    <t>Olamide Zaccheaus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</si>
  <si>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</si>
  <si>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</si>
  <si>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</si>
  <si>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</si>
  <si>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</si>
  <si>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</si>
  <si>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</si>
  <si>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</si>
  <si>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</si>
  <si>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</si>
  <si>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</si>
  <si>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Eric Tomlinson</t>
  </si>
  <si>
    <t>James Proche</t>
  </si>
  <si>
    <t>Josh Oliver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</si>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</sst>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68"/>
  <sheetViews>
    <sheetView tabSelected="1" workbookViewId="0">
      <selection activeCell="J76" sqref="J76"/>
    </sheetView>
  </sheetViews>
  <sheetFormatPr defaultRowHeight="15" x14ac:dyDescent="0.25"/>
  <cols>
    <col min="1" max="2" width="19.28515625" customWidth="1"/>
    <col min="5" max="5" width="16.7109375" customWidth="1"/>
    <col min="7" max="10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</row>
    <row r="2" spans="1:8" hidden="1" x14ac:dyDescent="0.25">
      <c r="A2" t="s">
        <v>6</v>
      </c>
      <c r="B2" t="s">
        <v>7</v>
      </c>
      <c r="C2" t="s">
        <v>8</v>
      </c>
      <c r="D2">
        <v>2021</v>
      </c>
      <c r="E2">
        <v>1</v>
      </c>
      <c r="F2">
        <v>291.62733584762458</v>
      </c>
      <c r="G2">
        <v>335</v>
      </c>
      <c r="H2">
        <v>23.928571428571399</v>
      </c>
    </row>
    <row r="3" spans="1:8" hidden="1" x14ac:dyDescent="0.25">
      <c r="A3" t="s">
        <v>9</v>
      </c>
      <c r="B3" t="s">
        <v>10</v>
      </c>
      <c r="C3" t="s">
        <v>8</v>
      </c>
      <c r="D3">
        <v>2021</v>
      </c>
      <c r="E3">
        <v>2</v>
      </c>
      <c r="F3">
        <v>289.23417458770581</v>
      </c>
      <c r="G3">
        <v>394</v>
      </c>
      <c r="H3">
        <v>24.625</v>
      </c>
    </row>
    <row r="4" spans="1:8" hidden="1" x14ac:dyDescent="0.25">
      <c r="A4" t="s">
        <v>11</v>
      </c>
      <c r="B4" t="s">
        <v>12</v>
      </c>
      <c r="C4" t="s">
        <v>8</v>
      </c>
      <c r="D4">
        <v>2021</v>
      </c>
      <c r="E4">
        <v>3</v>
      </c>
      <c r="F4">
        <v>285.1216378064853</v>
      </c>
      <c r="G4">
        <v>262</v>
      </c>
      <c r="H4">
        <v>21.8333333333333</v>
      </c>
    </row>
    <row r="5" spans="1:8" hidden="1" x14ac:dyDescent="0.25">
      <c r="A5" t="s">
        <v>13</v>
      </c>
      <c r="B5" t="s">
        <v>14</v>
      </c>
      <c r="C5" t="s">
        <v>8</v>
      </c>
      <c r="D5">
        <v>2021</v>
      </c>
      <c r="E5">
        <v>4</v>
      </c>
      <c r="F5">
        <v>284.06169735369087</v>
      </c>
      <c r="G5">
        <v>428</v>
      </c>
      <c r="H5">
        <v>25.176470588235201</v>
      </c>
    </row>
    <row r="6" spans="1:8" hidden="1" x14ac:dyDescent="0.25">
      <c r="A6" t="s">
        <v>15</v>
      </c>
      <c r="B6" t="s">
        <v>16</v>
      </c>
      <c r="C6" t="s">
        <v>8</v>
      </c>
      <c r="D6">
        <v>2021</v>
      </c>
      <c r="E6">
        <v>5</v>
      </c>
      <c r="F6">
        <v>283.80430671774928</v>
      </c>
      <c r="G6">
        <v>281</v>
      </c>
      <c r="H6">
        <v>20.071428571428498</v>
      </c>
    </row>
    <row r="7" spans="1:8" hidden="1" x14ac:dyDescent="0.25">
      <c r="A7" t="s">
        <v>17</v>
      </c>
      <c r="B7" t="s">
        <v>18</v>
      </c>
      <c r="C7" t="s">
        <v>8</v>
      </c>
      <c r="D7">
        <v>2021</v>
      </c>
      <c r="E7">
        <v>6</v>
      </c>
      <c r="F7">
        <v>283.75122469604088</v>
      </c>
      <c r="G7">
        <v>295</v>
      </c>
      <c r="H7">
        <v>17.352941176470502</v>
      </c>
    </row>
    <row r="8" spans="1:8" hidden="1" x14ac:dyDescent="0.25">
      <c r="A8" t="s">
        <v>19</v>
      </c>
      <c r="B8" t="s">
        <v>20</v>
      </c>
      <c r="C8" t="s">
        <v>8</v>
      </c>
      <c r="D8">
        <v>2021</v>
      </c>
      <c r="E8">
        <v>7</v>
      </c>
      <c r="F8">
        <v>282.92681817814002</v>
      </c>
      <c r="G8">
        <v>460</v>
      </c>
      <c r="H8">
        <v>27.058823529411701</v>
      </c>
    </row>
    <row r="9" spans="1:8" hidden="1" x14ac:dyDescent="0.25">
      <c r="A9" t="s">
        <v>21</v>
      </c>
      <c r="B9" t="s">
        <v>22</v>
      </c>
      <c r="C9" t="s">
        <v>8</v>
      </c>
      <c r="D9">
        <v>2021</v>
      </c>
      <c r="E9">
        <v>8</v>
      </c>
      <c r="F9">
        <v>277.5214893073375</v>
      </c>
      <c r="G9">
        <v>454</v>
      </c>
      <c r="H9">
        <v>26.705882352941099</v>
      </c>
    </row>
    <row r="10" spans="1:8" hidden="1" x14ac:dyDescent="0.25">
      <c r="A10" t="s">
        <v>23</v>
      </c>
      <c r="B10" t="s">
        <v>24</v>
      </c>
      <c r="C10" t="s">
        <v>8</v>
      </c>
      <c r="D10">
        <v>2021</v>
      </c>
      <c r="E10">
        <v>9</v>
      </c>
      <c r="F10">
        <v>276.76585861767597</v>
      </c>
      <c r="G10">
        <v>442</v>
      </c>
      <c r="H10">
        <v>26</v>
      </c>
    </row>
    <row r="11" spans="1:8" hidden="1" x14ac:dyDescent="0.25">
      <c r="A11" t="s">
        <v>25</v>
      </c>
      <c r="B11" t="s">
        <v>26</v>
      </c>
      <c r="C11" t="s">
        <v>8</v>
      </c>
      <c r="D11">
        <v>2021</v>
      </c>
      <c r="E11">
        <v>10</v>
      </c>
      <c r="F11">
        <v>272.25127042004249</v>
      </c>
      <c r="G11">
        <v>357</v>
      </c>
      <c r="H11">
        <v>22.3125</v>
      </c>
    </row>
    <row r="12" spans="1:8" hidden="1" x14ac:dyDescent="0.25">
      <c r="A12" t="s">
        <v>27</v>
      </c>
      <c r="B12" t="s">
        <v>28</v>
      </c>
      <c r="C12" t="s">
        <v>8</v>
      </c>
      <c r="D12">
        <v>2021</v>
      </c>
      <c r="E12">
        <v>11</v>
      </c>
      <c r="F12">
        <v>267.25852465765939</v>
      </c>
      <c r="G12">
        <v>294</v>
      </c>
      <c r="H12">
        <v>17.294117647058801</v>
      </c>
    </row>
    <row r="13" spans="1:8" hidden="1" x14ac:dyDescent="0.25">
      <c r="A13" t="s">
        <v>29</v>
      </c>
      <c r="B13" t="s">
        <v>30</v>
      </c>
      <c r="C13" t="s">
        <v>8</v>
      </c>
      <c r="D13">
        <v>2021</v>
      </c>
      <c r="E13">
        <v>12</v>
      </c>
      <c r="F13">
        <v>265.19871405627993</v>
      </c>
      <c r="G13">
        <v>252</v>
      </c>
      <c r="H13">
        <v>14.823529411764699</v>
      </c>
    </row>
    <row r="14" spans="1:8" hidden="1" x14ac:dyDescent="0.25">
      <c r="A14" t="s">
        <v>31</v>
      </c>
      <c r="B14" t="s">
        <v>32</v>
      </c>
      <c r="C14" t="s">
        <v>8</v>
      </c>
      <c r="D14">
        <v>2021</v>
      </c>
      <c r="E14">
        <v>13</v>
      </c>
      <c r="F14">
        <v>263.55833560626058</v>
      </c>
      <c r="G14">
        <v>227</v>
      </c>
      <c r="H14">
        <v>16.214285714285701</v>
      </c>
    </row>
    <row r="15" spans="1:8" hidden="1" x14ac:dyDescent="0.25">
      <c r="A15" t="s">
        <v>33</v>
      </c>
      <c r="B15" t="s">
        <v>34</v>
      </c>
      <c r="C15" t="s">
        <v>8</v>
      </c>
      <c r="D15">
        <v>2021</v>
      </c>
      <c r="E15">
        <v>14</v>
      </c>
      <c r="F15">
        <v>261.6472299957793</v>
      </c>
      <c r="G15">
        <v>230</v>
      </c>
      <c r="H15">
        <v>16.428571428571399</v>
      </c>
    </row>
    <row r="16" spans="1:8" hidden="1" x14ac:dyDescent="0.25">
      <c r="A16" t="s">
        <v>35</v>
      </c>
      <c r="B16" t="s">
        <v>36</v>
      </c>
      <c r="C16" t="s">
        <v>8</v>
      </c>
      <c r="D16">
        <v>2021</v>
      </c>
      <c r="E16">
        <v>15</v>
      </c>
      <c r="F16">
        <v>260.2264329681052</v>
      </c>
      <c r="G16">
        <v>205</v>
      </c>
      <c r="H16">
        <v>14.6428571428571</v>
      </c>
    </row>
    <row r="17" spans="1:8" hidden="1" x14ac:dyDescent="0.25">
      <c r="A17" t="s">
        <v>37</v>
      </c>
      <c r="B17" t="s">
        <v>28</v>
      </c>
      <c r="C17" t="s">
        <v>8</v>
      </c>
      <c r="D17">
        <v>2021</v>
      </c>
      <c r="E17">
        <v>16</v>
      </c>
      <c r="F17">
        <v>260.12999501146362</v>
      </c>
      <c r="G17">
        <v>12</v>
      </c>
      <c r="H17">
        <v>1.71428571428571</v>
      </c>
    </row>
    <row r="18" spans="1:8" hidden="1" x14ac:dyDescent="0.25">
      <c r="A18" t="s">
        <v>38</v>
      </c>
      <c r="B18" t="s">
        <v>39</v>
      </c>
      <c r="C18" t="s">
        <v>8</v>
      </c>
      <c r="D18">
        <v>2021</v>
      </c>
      <c r="E18">
        <v>17</v>
      </c>
      <c r="F18">
        <v>259.5063505337294</v>
      </c>
      <c r="G18">
        <v>90</v>
      </c>
      <c r="H18">
        <v>12.857142857142801</v>
      </c>
    </row>
    <row r="19" spans="1:8" hidden="1" x14ac:dyDescent="0.25">
      <c r="A19" t="s">
        <v>40</v>
      </c>
      <c r="B19" t="s">
        <v>41</v>
      </c>
      <c r="C19" t="s">
        <v>8</v>
      </c>
      <c r="D19">
        <v>2021</v>
      </c>
      <c r="E19">
        <v>18</v>
      </c>
      <c r="F19">
        <v>258.98917829636042</v>
      </c>
      <c r="G19">
        <v>258</v>
      </c>
      <c r="H19">
        <v>16.125</v>
      </c>
    </row>
    <row r="20" spans="1:8" hidden="1" x14ac:dyDescent="0.25">
      <c r="A20" t="s">
        <v>42</v>
      </c>
      <c r="B20" t="s">
        <v>43</v>
      </c>
      <c r="C20" t="s">
        <v>8</v>
      </c>
      <c r="D20">
        <v>2021</v>
      </c>
      <c r="E20">
        <v>19</v>
      </c>
      <c r="F20">
        <v>258.88472177147628</v>
      </c>
      <c r="G20">
        <v>405</v>
      </c>
      <c r="H20">
        <v>23.823529411764699</v>
      </c>
    </row>
    <row r="21" spans="1:8" hidden="1" x14ac:dyDescent="0.25">
      <c r="A21" t="s">
        <v>44</v>
      </c>
      <c r="B21" t="s">
        <v>45</v>
      </c>
      <c r="C21" t="s">
        <v>8</v>
      </c>
      <c r="D21">
        <v>2021</v>
      </c>
      <c r="E21">
        <v>20</v>
      </c>
      <c r="F21">
        <v>257.23898032821239</v>
      </c>
      <c r="G21">
        <v>304</v>
      </c>
      <c r="H21">
        <v>17.8823529411764</v>
      </c>
    </row>
    <row r="22" spans="1:8" hidden="1" x14ac:dyDescent="0.25">
      <c r="A22" t="s">
        <v>46</v>
      </c>
      <c r="B22" t="s">
        <v>47</v>
      </c>
      <c r="C22" t="s">
        <v>8</v>
      </c>
      <c r="D22">
        <v>2021</v>
      </c>
      <c r="E22">
        <v>21</v>
      </c>
      <c r="F22">
        <v>256.87298688999908</v>
      </c>
      <c r="G22">
        <v>372</v>
      </c>
      <c r="H22">
        <v>23.25</v>
      </c>
    </row>
    <row r="23" spans="1:8" hidden="1" x14ac:dyDescent="0.25">
      <c r="A23" t="s">
        <v>48</v>
      </c>
      <c r="B23" t="s">
        <v>49</v>
      </c>
      <c r="C23" t="s">
        <v>8</v>
      </c>
      <c r="D23">
        <v>2021</v>
      </c>
      <c r="E23">
        <v>22</v>
      </c>
      <c r="F23">
        <v>253.41812725394149</v>
      </c>
      <c r="G23">
        <v>390</v>
      </c>
      <c r="H23">
        <v>24.375</v>
      </c>
    </row>
    <row r="24" spans="1:8" hidden="1" x14ac:dyDescent="0.25">
      <c r="A24" t="s">
        <v>50</v>
      </c>
      <c r="B24" t="s">
        <v>51</v>
      </c>
      <c r="C24" t="s">
        <v>8</v>
      </c>
      <c r="D24">
        <v>2021</v>
      </c>
      <c r="E24">
        <v>23</v>
      </c>
      <c r="F24">
        <v>251.69544628138351</v>
      </c>
      <c r="G24">
        <v>40</v>
      </c>
      <c r="H24">
        <v>13.3333333333333</v>
      </c>
    </row>
    <row r="25" spans="1:8" hidden="1" x14ac:dyDescent="0.25">
      <c r="A25" t="s">
        <v>52</v>
      </c>
      <c r="B25" t="s">
        <v>34</v>
      </c>
      <c r="C25" t="s">
        <v>8</v>
      </c>
      <c r="D25">
        <v>2021</v>
      </c>
      <c r="E25">
        <v>24</v>
      </c>
      <c r="F25">
        <v>251.20946617654999</v>
      </c>
      <c r="G25">
        <v>54</v>
      </c>
      <c r="H25">
        <v>9</v>
      </c>
    </row>
    <row r="26" spans="1:8" hidden="1" x14ac:dyDescent="0.25">
      <c r="A26" t="s">
        <v>53</v>
      </c>
      <c r="B26" t="s">
        <v>54</v>
      </c>
      <c r="C26" t="s">
        <v>8</v>
      </c>
      <c r="D26">
        <v>2021</v>
      </c>
      <c r="E26">
        <v>25</v>
      </c>
      <c r="F26">
        <v>250.20137106540059</v>
      </c>
      <c r="G26">
        <v>96</v>
      </c>
      <c r="H26">
        <v>12</v>
      </c>
    </row>
    <row r="27" spans="1:8" hidden="1" x14ac:dyDescent="0.25">
      <c r="A27" t="s">
        <v>55</v>
      </c>
      <c r="B27" t="s">
        <v>56</v>
      </c>
      <c r="C27" t="s">
        <v>8</v>
      </c>
      <c r="D27">
        <v>2021</v>
      </c>
      <c r="E27">
        <v>26</v>
      </c>
      <c r="F27">
        <v>246.88848055886879</v>
      </c>
      <c r="G27">
        <v>204</v>
      </c>
      <c r="H27">
        <v>15.692307692307599</v>
      </c>
    </row>
    <row r="28" spans="1:8" hidden="1" x14ac:dyDescent="0.25">
      <c r="A28" t="s">
        <v>57</v>
      </c>
      <c r="B28" t="s">
        <v>58</v>
      </c>
      <c r="C28" t="s">
        <v>8</v>
      </c>
      <c r="D28">
        <v>2021</v>
      </c>
      <c r="E28">
        <v>27</v>
      </c>
      <c r="F28">
        <v>246.70456139529739</v>
      </c>
      <c r="G28">
        <v>178</v>
      </c>
      <c r="H28">
        <v>16.181818181818102</v>
      </c>
    </row>
    <row r="29" spans="1:8" hidden="1" x14ac:dyDescent="0.25">
      <c r="A29" t="s">
        <v>59</v>
      </c>
      <c r="B29" t="s">
        <v>54</v>
      </c>
      <c r="C29" t="s">
        <v>8</v>
      </c>
      <c r="D29">
        <v>2021</v>
      </c>
      <c r="E29">
        <v>28</v>
      </c>
      <c r="F29">
        <v>246.39441748984001</v>
      </c>
      <c r="G29">
        <v>18</v>
      </c>
      <c r="H29">
        <v>18</v>
      </c>
    </row>
    <row r="30" spans="1:8" hidden="1" x14ac:dyDescent="0.25">
      <c r="A30" t="s">
        <v>60</v>
      </c>
      <c r="B30" t="s">
        <v>36</v>
      </c>
      <c r="C30" t="s">
        <v>8</v>
      </c>
      <c r="D30">
        <v>2021</v>
      </c>
      <c r="E30">
        <v>29</v>
      </c>
      <c r="F30">
        <v>245.69667857354369</v>
      </c>
      <c r="G30">
        <v>11</v>
      </c>
      <c r="H30">
        <v>11</v>
      </c>
    </row>
    <row r="31" spans="1:8" hidden="1" x14ac:dyDescent="0.25">
      <c r="A31" t="s">
        <v>61</v>
      </c>
      <c r="B31" t="s">
        <v>62</v>
      </c>
      <c r="C31" t="s">
        <v>8</v>
      </c>
      <c r="D31">
        <v>2021</v>
      </c>
      <c r="E31">
        <v>30</v>
      </c>
      <c r="F31">
        <v>244.4212681171216</v>
      </c>
      <c r="G31">
        <v>260</v>
      </c>
      <c r="H31">
        <v>17.3333333333333</v>
      </c>
    </row>
    <row r="32" spans="1:8" hidden="1" x14ac:dyDescent="0.25">
      <c r="A32" t="s">
        <v>63</v>
      </c>
      <c r="B32" t="s">
        <v>51</v>
      </c>
      <c r="C32" t="s">
        <v>8</v>
      </c>
      <c r="D32">
        <v>2021</v>
      </c>
      <c r="E32">
        <v>31</v>
      </c>
      <c r="F32">
        <v>240.61979540334241</v>
      </c>
      <c r="G32">
        <v>332</v>
      </c>
      <c r="H32">
        <v>22.133333333333301</v>
      </c>
    </row>
    <row r="33" spans="1:8" hidden="1" x14ac:dyDescent="0.25">
      <c r="A33" t="s">
        <v>64</v>
      </c>
      <c r="B33" t="s">
        <v>58</v>
      </c>
      <c r="C33" t="s">
        <v>8</v>
      </c>
      <c r="D33">
        <v>2021</v>
      </c>
      <c r="E33">
        <v>32</v>
      </c>
      <c r="F33">
        <v>237.8143575047059</v>
      </c>
      <c r="G33">
        <v>36</v>
      </c>
      <c r="H33">
        <v>6</v>
      </c>
    </row>
    <row r="34" spans="1:8" hidden="1" x14ac:dyDescent="0.25">
      <c r="A34" t="s">
        <v>65</v>
      </c>
      <c r="B34" t="s">
        <v>66</v>
      </c>
      <c r="C34" t="s">
        <v>8</v>
      </c>
      <c r="D34">
        <v>2021</v>
      </c>
      <c r="E34">
        <v>33</v>
      </c>
      <c r="F34">
        <v>237.0866170587332</v>
      </c>
      <c r="G34">
        <v>141</v>
      </c>
      <c r="H34">
        <v>20.1428571428571</v>
      </c>
    </row>
    <row r="35" spans="1:8" hidden="1" x14ac:dyDescent="0.25">
      <c r="A35" t="s">
        <v>67</v>
      </c>
      <c r="B35" t="s">
        <v>47</v>
      </c>
      <c r="C35" t="s">
        <v>8</v>
      </c>
      <c r="D35">
        <v>2021</v>
      </c>
      <c r="E35">
        <v>34</v>
      </c>
      <c r="F35">
        <v>237.07131637088051</v>
      </c>
      <c r="G35">
        <v>17</v>
      </c>
      <c r="H35">
        <v>3.4</v>
      </c>
    </row>
    <row r="36" spans="1:8" hidden="1" x14ac:dyDescent="0.25">
      <c r="A36" t="s">
        <v>68</v>
      </c>
      <c r="B36" t="s">
        <v>12</v>
      </c>
      <c r="C36" t="s">
        <v>8</v>
      </c>
      <c r="D36">
        <v>2021</v>
      </c>
      <c r="E36">
        <v>35</v>
      </c>
      <c r="F36">
        <v>235.4652176236084</v>
      </c>
      <c r="G36">
        <v>86</v>
      </c>
      <c r="H36">
        <v>12.285714285714199</v>
      </c>
    </row>
    <row r="37" spans="1:8" hidden="1" x14ac:dyDescent="0.25">
      <c r="A37" t="s">
        <v>69</v>
      </c>
      <c r="B37" t="s">
        <v>39</v>
      </c>
      <c r="C37" t="s">
        <v>8</v>
      </c>
      <c r="D37">
        <v>2021</v>
      </c>
      <c r="E37">
        <v>36</v>
      </c>
      <c r="F37">
        <v>235.38233986580261</v>
      </c>
      <c r="G37">
        <v>170</v>
      </c>
      <c r="H37">
        <v>14.1666666666666</v>
      </c>
    </row>
    <row r="38" spans="1:8" hidden="1" x14ac:dyDescent="0.25">
      <c r="A38" t="s">
        <v>70</v>
      </c>
      <c r="B38" t="s">
        <v>32</v>
      </c>
      <c r="C38" t="s">
        <v>8</v>
      </c>
      <c r="D38">
        <v>2021</v>
      </c>
      <c r="E38">
        <v>37</v>
      </c>
      <c r="F38">
        <v>234.0981301659335</v>
      </c>
      <c r="G38">
        <v>29</v>
      </c>
      <c r="H38">
        <v>7.25</v>
      </c>
    </row>
    <row r="39" spans="1:8" hidden="1" x14ac:dyDescent="0.25">
      <c r="A39" t="s">
        <v>71</v>
      </c>
      <c r="B39" t="s">
        <v>16</v>
      </c>
      <c r="C39" t="s">
        <v>8</v>
      </c>
      <c r="D39">
        <v>2021</v>
      </c>
      <c r="E39">
        <v>38</v>
      </c>
      <c r="F39">
        <v>233.8348861290321</v>
      </c>
      <c r="G39">
        <v>62</v>
      </c>
      <c r="H39">
        <v>15.5</v>
      </c>
    </row>
    <row r="40" spans="1:8" hidden="1" x14ac:dyDescent="0.25">
      <c r="A40" t="s">
        <v>72</v>
      </c>
      <c r="B40" t="s">
        <v>73</v>
      </c>
      <c r="C40" t="s">
        <v>8</v>
      </c>
      <c r="D40">
        <v>2021</v>
      </c>
      <c r="E40">
        <v>39</v>
      </c>
      <c r="F40">
        <v>232.84266352499009</v>
      </c>
      <c r="G40">
        <v>87</v>
      </c>
      <c r="H40">
        <v>14.5</v>
      </c>
    </row>
    <row r="41" spans="1:8" hidden="1" x14ac:dyDescent="0.25">
      <c r="A41" t="s">
        <v>74</v>
      </c>
      <c r="B41" t="s">
        <v>56</v>
      </c>
      <c r="C41" t="s">
        <v>8</v>
      </c>
      <c r="D41">
        <v>2021</v>
      </c>
      <c r="E41">
        <v>40</v>
      </c>
      <c r="F41">
        <v>232.5160872334163</v>
      </c>
      <c r="G41">
        <v>78</v>
      </c>
      <c r="H41">
        <v>8.6666666666666607</v>
      </c>
    </row>
    <row r="42" spans="1:8" hidden="1" x14ac:dyDescent="0.25">
      <c r="A42" t="s">
        <v>75</v>
      </c>
      <c r="B42" t="s">
        <v>36</v>
      </c>
      <c r="C42" t="s">
        <v>8</v>
      </c>
      <c r="D42">
        <v>2021</v>
      </c>
      <c r="E42">
        <v>41</v>
      </c>
      <c r="F42">
        <v>231.8521846041416</v>
      </c>
      <c r="G42">
        <v>33</v>
      </c>
      <c r="H42">
        <v>6.6</v>
      </c>
    </row>
    <row r="43" spans="1:8" hidden="1" x14ac:dyDescent="0.25">
      <c r="A43" t="s">
        <v>76</v>
      </c>
      <c r="B43" t="s">
        <v>66</v>
      </c>
      <c r="C43" t="s">
        <v>8</v>
      </c>
      <c r="D43">
        <v>2021</v>
      </c>
      <c r="E43">
        <v>42</v>
      </c>
      <c r="F43">
        <v>230.30360659569519</v>
      </c>
      <c r="G43">
        <v>121</v>
      </c>
      <c r="H43">
        <v>10.0833333333333</v>
      </c>
    </row>
    <row r="44" spans="1:8" hidden="1" x14ac:dyDescent="0.25">
      <c r="A44" t="s">
        <v>77</v>
      </c>
      <c r="B44" t="s">
        <v>78</v>
      </c>
      <c r="C44" t="s">
        <v>8</v>
      </c>
      <c r="D44">
        <v>2021</v>
      </c>
      <c r="E44">
        <v>43</v>
      </c>
      <c r="F44">
        <v>229.05023237122981</v>
      </c>
      <c r="G44">
        <v>10</v>
      </c>
      <c r="H44">
        <v>5</v>
      </c>
    </row>
    <row r="45" spans="1:8" hidden="1" x14ac:dyDescent="0.25">
      <c r="A45" t="s">
        <v>79</v>
      </c>
      <c r="B45" t="s">
        <v>41</v>
      </c>
      <c r="C45" t="s">
        <v>8</v>
      </c>
      <c r="D45">
        <v>2021</v>
      </c>
      <c r="E45">
        <v>44</v>
      </c>
      <c r="F45">
        <v>228.94680080492961</v>
      </c>
      <c r="G45">
        <v>18</v>
      </c>
      <c r="H45">
        <v>9</v>
      </c>
    </row>
    <row r="46" spans="1:8" hidden="1" x14ac:dyDescent="0.25">
      <c r="A46" t="s">
        <v>80</v>
      </c>
      <c r="B46" t="s">
        <v>78</v>
      </c>
      <c r="C46" t="s">
        <v>8</v>
      </c>
      <c r="D46">
        <v>2021</v>
      </c>
      <c r="E46">
        <v>45</v>
      </c>
      <c r="F46">
        <v>227.65295670661021</v>
      </c>
      <c r="G46">
        <v>249</v>
      </c>
      <c r="H46">
        <v>15.5625</v>
      </c>
    </row>
    <row r="47" spans="1:8" hidden="1" x14ac:dyDescent="0.25">
      <c r="A47" t="s">
        <v>81</v>
      </c>
      <c r="B47" t="s">
        <v>82</v>
      </c>
      <c r="C47" t="s">
        <v>8</v>
      </c>
      <c r="D47">
        <v>2021</v>
      </c>
      <c r="E47">
        <v>46</v>
      </c>
      <c r="F47">
        <v>226.25426570473161</v>
      </c>
      <c r="G47">
        <v>14</v>
      </c>
      <c r="H47">
        <v>2.8</v>
      </c>
    </row>
    <row r="48" spans="1:8" hidden="1" x14ac:dyDescent="0.25">
      <c r="A48" t="s">
        <v>83</v>
      </c>
      <c r="B48" t="s">
        <v>84</v>
      </c>
      <c r="C48" t="s">
        <v>8</v>
      </c>
      <c r="D48">
        <v>2021</v>
      </c>
      <c r="E48">
        <v>47</v>
      </c>
      <c r="F48">
        <v>224.93136895801979</v>
      </c>
      <c r="G48">
        <v>29</v>
      </c>
      <c r="H48">
        <v>14.5</v>
      </c>
    </row>
    <row r="49" spans="1:10" hidden="1" x14ac:dyDescent="0.25">
      <c r="A49" t="s">
        <v>85</v>
      </c>
      <c r="B49" t="s">
        <v>7</v>
      </c>
      <c r="C49" t="s">
        <v>8</v>
      </c>
      <c r="D49">
        <v>2021</v>
      </c>
      <c r="E49">
        <v>48</v>
      </c>
      <c r="F49">
        <v>224.81355112362209</v>
      </c>
      <c r="G49">
        <v>46</v>
      </c>
      <c r="H49">
        <v>6.5714285714285703</v>
      </c>
    </row>
    <row r="50" spans="1:10" hidden="1" x14ac:dyDescent="0.25">
      <c r="A50" t="s">
        <v>86</v>
      </c>
      <c r="B50" t="s">
        <v>66</v>
      </c>
      <c r="C50" t="s">
        <v>8</v>
      </c>
      <c r="D50">
        <v>2021</v>
      </c>
      <c r="E50">
        <v>49</v>
      </c>
      <c r="F50">
        <v>186.19479035334601</v>
      </c>
      <c r="G50">
        <v>108</v>
      </c>
      <c r="H50">
        <v>18</v>
      </c>
    </row>
    <row r="51" spans="1:10" hidden="1" x14ac:dyDescent="0.25">
      <c r="A51" t="s">
        <v>87</v>
      </c>
      <c r="B51" t="s">
        <v>26</v>
      </c>
      <c r="C51" t="s">
        <v>8</v>
      </c>
      <c r="D51">
        <v>2021</v>
      </c>
      <c r="E51">
        <v>50</v>
      </c>
      <c r="F51">
        <v>186.19479035334601</v>
      </c>
      <c r="G51">
        <v>14</v>
      </c>
      <c r="H51">
        <v>14</v>
      </c>
    </row>
    <row r="52" spans="1:10" x14ac:dyDescent="0.25">
      <c r="A52" t="s">
        <v>88</v>
      </c>
      <c r="B52" t="s">
        <v>18</v>
      </c>
      <c r="C52" t="s">
        <v>89</v>
      </c>
      <c r="D52">
        <v>2021</v>
      </c>
      <c r="E52">
        <v>1</v>
      </c>
      <c r="F52">
        <v>240.88843217508989</v>
      </c>
      <c r="G52">
        <v>189</v>
      </c>
      <c r="H52">
        <v>23.625</v>
      </c>
    </row>
    <row r="53" spans="1:10" x14ac:dyDescent="0.25">
      <c r="A53" t="s">
        <v>90</v>
      </c>
      <c r="B53" t="s">
        <v>26</v>
      </c>
      <c r="C53" t="s">
        <v>89</v>
      </c>
      <c r="D53">
        <v>2021</v>
      </c>
      <c r="E53">
        <v>2</v>
      </c>
      <c r="F53">
        <v>236.73138131313991</v>
      </c>
      <c r="G53">
        <v>198</v>
      </c>
      <c r="H53">
        <v>15.2307692307692</v>
      </c>
    </row>
    <row r="54" spans="1:10" x14ac:dyDescent="0.25">
      <c r="A54" t="s">
        <v>91</v>
      </c>
      <c r="B54" t="s">
        <v>66</v>
      </c>
      <c r="C54" t="s">
        <v>89</v>
      </c>
      <c r="D54">
        <v>2021</v>
      </c>
      <c r="E54">
        <v>3</v>
      </c>
      <c r="F54">
        <v>221.1891683424366</v>
      </c>
      <c r="G54">
        <v>224</v>
      </c>
      <c r="H54">
        <v>17.230769230769202</v>
      </c>
    </row>
    <row r="55" spans="1:10" x14ac:dyDescent="0.25">
      <c r="A55" t="s">
        <v>92</v>
      </c>
      <c r="B55" t="s">
        <v>47</v>
      </c>
      <c r="C55" t="s">
        <v>89</v>
      </c>
      <c r="D55">
        <v>2021</v>
      </c>
      <c r="E55">
        <v>4</v>
      </c>
      <c r="F55">
        <v>219.573409526891</v>
      </c>
      <c r="G55">
        <v>277</v>
      </c>
      <c r="H55">
        <v>17.3125</v>
      </c>
    </row>
    <row r="56" spans="1:10" x14ac:dyDescent="0.25">
      <c r="A56" t="s">
        <v>93</v>
      </c>
      <c r="B56" t="s">
        <v>10</v>
      </c>
      <c r="C56" t="s">
        <v>89</v>
      </c>
      <c r="D56">
        <v>2021</v>
      </c>
      <c r="E56">
        <v>5</v>
      </c>
      <c r="F56">
        <v>214.02552026133489</v>
      </c>
      <c r="G56">
        <v>218</v>
      </c>
      <c r="H56">
        <v>14.533333333333299</v>
      </c>
    </row>
    <row r="57" spans="1:10" x14ac:dyDescent="0.25">
      <c r="A57" t="s">
        <v>94</v>
      </c>
      <c r="B57" t="s">
        <v>54</v>
      </c>
      <c r="C57" t="s">
        <v>89</v>
      </c>
      <c r="D57">
        <v>2021</v>
      </c>
      <c r="E57">
        <v>6</v>
      </c>
      <c r="F57">
        <v>210.24336253383049</v>
      </c>
      <c r="G57">
        <v>185</v>
      </c>
      <c r="H57">
        <v>14.2307692307692</v>
      </c>
    </row>
    <row r="58" spans="1:10" x14ac:dyDescent="0.25">
      <c r="A58" t="s">
        <v>95</v>
      </c>
      <c r="B58" t="s">
        <v>45</v>
      </c>
      <c r="C58" t="s">
        <v>89</v>
      </c>
      <c r="D58">
        <v>2021</v>
      </c>
      <c r="E58">
        <v>7</v>
      </c>
      <c r="F58">
        <v>206.26246707682631</v>
      </c>
      <c r="G58">
        <v>362</v>
      </c>
      <c r="H58">
        <v>21.294117647058801</v>
      </c>
    </row>
    <row r="59" spans="1:10" x14ac:dyDescent="0.25">
      <c r="A59" t="s">
        <v>96</v>
      </c>
      <c r="B59" t="s">
        <v>97</v>
      </c>
      <c r="C59" t="s">
        <v>89</v>
      </c>
      <c r="D59">
        <v>2021</v>
      </c>
      <c r="E59">
        <v>8</v>
      </c>
      <c r="F59">
        <v>204.41292529013751</v>
      </c>
      <c r="G59">
        <v>162</v>
      </c>
      <c r="H59">
        <v>11.5714285714285</v>
      </c>
    </row>
    <row r="60" spans="1:10" x14ac:dyDescent="0.25">
      <c r="A60" t="s">
        <v>98</v>
      </c>
      <c r="B60" t="s">
        <v>78</v>
      </c>
      <c r="C60" t="s">
        <v>89</v>
      </c>
      <c r="D60">
        <v>2021</v>
      </c>
      <c r="E60">
        <v>9</v>
      </c>
      <c r="F60">
        <v>201.03469764864209</v>
      </c>
      <c r="G60">
        <v>220</v>
      </c>
      <c r="H60">
        <v>13.75</v>
      </c>
    </row>
    <row r="61" spans="1:10" x14ac:dyDescent="0.25">
      <c r="A61" t="s">
        <v>99</v>
      </c>
      <c r="B61" t="s">
        <v>24</v>
      </c>
      <c r="C61" t="s">
        <v>89</v>
      </c>
      <c r="D61">
        <v>2021</v>
      </c>
      <c r="E61">
        <v>10</v>
      </c>
      <c r="F61">
        <v>197.33429071670719</v>
      </c>
      <c r="G61">
        <v>331</v>
      </c>
      <c r="H61">
        <v>20.6875</v>
      </c>
    </row>
    <row r="62" spans="1:10" x14ac:dyDescent="0.25">
      <c r="A62" t="s">
        <v>100</v>
      </c>
      <c r="B62" t="s">
        <v>7</v>
      </c>
      <c r="C62" t="s">
        <v>89</v>
      </c>
      <c r="D62">
        <v>2021</v>
      </c>
      <c r="E62">
        <v>11</v>
      </c>
      <c r="F62">
        <v>197.13708394579851</v>
      </c>
      <c r="G62">
        <v>247</v>
      </c>
      <c r="H62">
        <v>16.466666666666601</v>
      </c>
    </row>
    <row r="63" spans="1:10" x14ac:dyDescent="0.25">
      <c r="A63" t="s">
        <v>101</v>
      </c>
      <c r="B63" t="s">
        <v>39</v>
      </c>
      <c r="C63" t="s">
        <v>89</v>
      </c>
      <c r="D63">
        <v>2021</v>
      </c>
      <c r="E63">
        <v>12</v>
      </c>
      <c r="F63">
        <v>196.53830138147779</v>
      </c>
      <c r="G63">
        <v>121</v>
      </c>
      <c r="H63">
        <v>17.285714285714199</v>
      </c>
      <c r="I63">
        <f>SUM(G52:G63)</f>
        <v>2734</v>
      </c>
      <c r="J63">
        <f>G52+G53+G54+G55+G56+G57+G58+G59+G60+G61+G62+G63</f>
        <v>2734</v>
      </c>
    </row>
    <row r="64" spans="1:10" x14ac:dyDescent="0.25">
      <c r="A64" t="s">
        <v>102</v>
      </c>
      <c r="B64" t="s">
        <v>36</v>
      </c>
      <c r="C64" t="s">
        <v>89</v>
      </c>
      <c r="D64">
        <v>2021</v>
      </c>
      <c r="E64">
        <v>13</v>
      </c>
      <c r="F64">
        <v>195.52279061894839</v>
      </c>
      <c r="G64">
        <v>204</v>
      </c>
      <c r="H64">
        <v>14.5714285714285</v>
      </c>
    </row>
    <row r="65" spans="1:10" x14ac:dyDescent="0.25">
      <c r="A65" t="s">
        <v>103</v>
      </c>
      <c r="B65" t="s">
        <v>14</v>
      </c>
      <c r="C65" t="s">
        <v>89</v>
      </c>
      <c r="D65">
        <v>2021</v>
      </c>
      <c r="E65">
        <v>14</v>
      </c>
      <c r="F65">
        <v>184.79669819001739</v>
      </c>
      <c r="G65">
        <v>111</v>
      </c>
      <c r="H65">
        <v>11.1</v>
      </c>
    </row>
    <row r="66" spans="1:10" x14ac:dyDescent="0.25">
      <c r="A66" t="s">
        <v>104</v>
      </c>
      <c r="B66" t="s">
        <v>22</v>
      </c>
      <c r="C66" t="s">
        <v>89</v>
      </c>
      <c r="D66">
        <v>2021</v>
      </c>
      <c r="E66">
        <v>15</v>
      </c>
      <c r="F66">
        <v>180.792946525979</v>
      </c>
      <c r="G66">
        <v>242</v>
      </c>
      <c r="H66">
        <v>17.285714285714199</v>
      </c>
    </row>
    <row r="67" spans="1:10" x14ac:dyDescent="0.25">
      <c r="A67" t="s">
        <v>105</v>
      </c>
      <c r="B67" t="s">
        <v>56</v>
      </c>
      <c r="C67" t="s">
        <v>89</v>
      </c>
      <c r="D67">
        <v>2021</v>
      </c>
      <c r="E67">
        <v>16</v>
      </c>
      <c r="F67">
        <v>177.59760569315401</v>
      </c>
      <c r="G67">
        <v>160</v>
      </c>
      <c r="H67">
        <v>9.4117647058823497</v>
      </c>
    </row>
    <row r="68" spans="1:10" x14ac:dyDescent="0.25">
      <c r="A68" t="s">
        <v>106</v>
      </c>
      <c r="B68" t="s">
        <v>32</v>
      </c>
      <c r="C68" t="s">
        <v>89</v>
      </c>
      <c r="D68">
        <v>2021</v>
      </c>
      <c r="E68">
        <v>17</v>
      </c>
      <c r="F68">
        <v>177.19890107537699</v>
      </c>
      <c r="G68">
        <v>199</v>
      </c>
      <c r="H68">
        <v>15.307692307692299</v>
      </c>
    </row>
    <row r="69" spans="1:10" x14ac:dyDescent="0.25">
      <c r="A69" t="s">
        <v>107</v>
      </c>
      <c r="B69" t="s">
        <v>28</v>
      </c>
      <c r="C69" t="s">
        <v>89</v>
      </c>
      <c r="D69">
        <v>2021</v>
      </c>
      <c r="E69">
        <v>18</v>
      </c>
      <c r="F69">
        <v>176.64713492280779</v>
      </c>
      <c r="G69">
        <v>213</v>
      </c>
      <c r="H69">
        <v>14.2</v>
      </c>
    </row>
    <row r="70" spans="1:10" x14ac:dyDescent="0.25">
      <c r="A70" t="s">
        <v>108</v>
      </c>
      <c r="B70" t="s">
        <v>49</v>
      </c>
      <c r="C70" t="s">
        <v>89</v>
      </c>
      <c r="D70">
        <v>2021</v>
      </c>
      <c r="E70">
        <v>19</v>
      </c>
      <c r="F70">
        <v>176.1412525507437</v>
      </c>
      <c r="G70">
        <v>241</v>
      </c>
      <c r="H70">
        <v>14.176470588235199</v>
      </c>
    </row>
    <row r="71" spans="1:10" x14ac:dyDescent="0.25">
      <c r="A71" t="s">
        <v>109</v>
      </c>
      <c r="B71" t="s">
        <v>30</v>
      </c>
      <c r="C71" t="s">
        <v>89</v>
      </c>
      <c r="D71">
        <v>2021</v>
      </c>
      <c r="E71">
        <v>20</v>
      </c>
      <c r="F71">
        <v>169.40606495264751</v>
      </c>
      <c r="G71">
        <v>130</v>
      </c>
      <c r="H71">
        <v>7.6470588235294104</v>
      </c>
    </row>
    <row r="72" spans="1:10" x14ac:dyDescent="0.25">
      <c r="A72" t="s">
        <v>110</v>
      </c>
      <c r="B72" t="s">
        <v>34</v>
      </c>
      <c r="C72" t="s">
        <v>89</v>
      </c>
      <c r="D72">
        <v>2021</v>
      </c>
      <c r="E72">
        <v>21</v>
      </c>
      <c r="F72">
        <v>168.4998950533348</v>
      </c>
      <c r="G72">
        <v>187</v>
      </c>
      <c r="H72">
        <v>11.6875</v>
      </c>
    </row>
    <row r="73" spans="1:10" x14ac:dyDescent="0.25">
      <c r="A73" t="s">
        <v>111</v>
      </c>
      <c r="B73" t="s">
        <v>28</v>
      </c>
      <c r="C73" t="s">
        <v>89</v>
      </c>
      <c r="D73">
        <v>2021</v>
      </c>
      <c r="E73">
        <v>22</v>
      </c>
      <c r="F73">
        <v>166.93148549681769</v>
      </c>
      <c r="G73">
        <v>93</v>
      </c>
      <c r="H73">
        <v>7.75</v>
      </c>
    </row>
    <row r="74" spans="1:10" x14ac:dyDescent="0.25">
      <c r="A74" t="s">
        <v>112</v>
      </c>
      <c r="B74" t="s">
        <v>36</v>
      </c>
      <c r="C74" t="s">
        <v>89</v>
      </c>
      <c r="D74">
        <v>2021</v>
      </c>
      <c r="E74">
        <v>23</v>
      </c>
      <c r="F74">
        <v>163.4417051779692</v>
      </c>
      <c r="G74">
        <v>104</v>
      </c>
      <c r="H74">
        <v>13</v>
      </c>
    </row>
    <row r="75" spans="1:10" x14ac:dyDescent="0.25">
      <c r="A75" t="s">
        <v>113</v>
      </c>
      <c r="B75" t="s">
        <v>51</v>
      </c>
      <c r="C75" t="s">
        <v>89</v>
      </c>
      <c r="D75">
        <v>2021</v>
      </c>
      <c r="E75">
        <v>24</v>
      </c>
      <c r="F75">
        <v>159.31768571407571</v>
      </c>
      <c r="G75">
        <v>110</v>
      </c>
      <c r="H75">
        <v>9.1666666666666607</v>
      </c>
      <c r="I75">
        <f>SUM(G52:G75)</f>
        <v>4728</v>
      </c>
      <c r="J75">
        <f>I63+G64+G65+G66+G67+G68+G69+G70+G71+G72+G73+G74+G75</f>
        <v>4728</v>
      </c>
    </row>
    <row r="76" spans="1:10" x14ac:dyDescent="0.25">
      <c r="A76" t="s">
        <v>114</v>
      </c>
      <c r="B76" t="s">
        <v>45</v>
      </c>
      <c r="C76" t="s">
        <v>89</v>
      </c>
      <c r="D76">
        <v>2021</v>
      </c>
      <c r="E76">
        <v>25</v>
      </c>
      <c r="F76">
        <v>158.37882386410749</v>
      </c>
      <c r="G76">
        <v>101</v>
      </c>
      <c r="H76">
        <v>5.9411764705882302</v>
      </c>
    </row>
    <row r="77" spans="1:10" x14ac:dyDescent="0.25">
      <c r="A77" t="s">
        <v>115</v>
      </c>
      <c r="B77" t="s">
        <v>20</v>
      </c>
      <c r="C77" t="s">
        <v>89</v>
      </c>
      <c r="D77">
        <v>2021</v>
      </c>
      <c r="E77">
        <v>26</v>
      </c>
      <c r="F77">
        <v>146.15650174972009</v>
      </c>
      <c r="G77">
        <v>182</v>
      </c>
      <c r="H77">
        <v>10.705882352941099</v>
      </c>
    </row>
    <row r="78" spans="1:10" x14ac:dyDescent="0.25">
      <c r="A78" t="s">
        <v>116</v>
      </c>
      <c r="B78" t="s">
        <v>82</v>
      </c>
      <c r="C78" t="s">
        <v>89</v>
      </c>
      <c r="D78">
        <v>2021</v>
      </c>
      <c r="E78">
        <v>27</v>
      </c>
      <c r="F78">
        <v>143.55062917018299</v>
      </c>
      <c r="G78">
        <v>204</v>
      </c>
      <c r="H78">
        <v>13.6</v>
      </c>
    </row>
    <row r="79" spans="1:10" x14ac:dyDescent="0.25">
      <c r="A79" t="s">
        <v>117</v>
      </c>
      <c r="B79" t="s">
        <v>58</v>
      </c>
      <c r="C79" t="s">
        <v>89</v>
      </c>
      <c r="D79">
        <v>2021</v>
      </c>
      <c r="E79">
        <v>28</v>
      </c>
      <c r="F79">
        <v>142.0088441507734</v>
      </c>
      <c r="G79">
        <v>142</v>
      </c>
      <c r="H79">
        <v>10.9230769230769</v>
      </c>
    </row>
    <row r="80" spans="1:10" x14ac:dyDescent="0.25">
      <c r="A80" t="s">
        <v>118</v>
      </c>
      <c r="B80" t="s">
        <v>7</v>
      </c>
      <c r="C80" t="s">
        <v>89</v>
      </c>
      <c r="D80">
        <v>2021</v>
      </c>
      <c r="E80">
        <v>29</v>
      </c>
      <c r="F80">
        <v>141.5227305159768</v>
      </c>
      <c r="G80">
        <v>133</v>
      </c>
      <c r="H80">
        <v>11.0833333333333</v>
      </c>
    </row>
    <row r="81" spans="1:8" x14ac:dyDescent="0.25">
      <c r="A81" t="s">
        <v>119</v>
      </c>
      <c r="B81" t="s">
        <v>49</v>
      </c>
      <c r="C81" t="s">
        <v>89</v>
      </c>
      <c r="D81">
        <v>2021</v>
      </c>
      <c r="E81">
        <v>30</v>
      </c>
      <c r="F81">
        <v>132.40393370000919</v>
      </c>
      <c r="G81">
        <v>145</v>
      </c>
      <c r="H81">
        <v>9.6666666666666607</v>
      </c>
    </row>
    <row r="82" spans="1:8" x14ac:dyDescent="0.25">
      <c r="A82" t="s">
        <v>120</v>
      </c>
      <c r="B82" t="s">
        <v>73</v>
      </c>
      <c r="C82" t="s">
        <v>89</v>
      </c>
      <c r="D82">
        <v>2021</v>
      </c>
      <c r="E82">
        <v>31</v>
      </c>
      <c r="F82">
        <v>131.47332878256009</v>
      </c>
      <c r="G82">
        <v>96</v>
      </c>
      <c r="H82">
        <v>7.3846153846153797</v>
      </c>
    </row>
    <row r="83" spans="1:8" x14ac:dyDescent="0.25">
      <c r="A83" t="s">
        <v>121</v>
      </c>
      <c r="B83" t="s">
        <v>43</v>
      </c>
      <c r="C83" t="s">
        <v>89</v>
      </c>
      <c r="D83">
        <v>2021</v>
      </c>
      <c r="E83">
        <v>32</v>
      </c>
      <c r="F83">
        <v>127.22298782902141</v>
      </c>
      <c r="G83">
        <v>152</v>
      </c>
      <c r="H83">
        <v>12.6666666666666</v>
      </c>
    </row>
    <row r="84" spans="1:8" x14ac:dyDescent="0.25">
      <c r="A84" t="s">
        <v>122</v>
      </c>
      <c r="B84" t="s">
        <v>12</v>
      </c>
      <c r="C84" t="s">
        <v>89</v>
      </c>
      <c r="D84">
        <v>2021</v>
      </c>
      <c r="E84">
        <v>33</v>
      </c>
      <c r="F84">
        <v>126.7826889819795</v>
      </c>
      <c r="G84">
        <v>96</v>
      </c>
      <c r="H84">
        <v>6.8571428571428497</v>
      </c>
    </row>
    <row r="85" spans="1:8" x14ac:dyDescent="0.25">
      <c r="A85" t="s">
        <v>123</v>
      </c>
      <c r="B85" t="s">
        <v>82</v>
      </c>
      <c r="C85" t="s">
        <v>89</v>
      </c>
      <c r="D85">
        <v>2021</v>
      </c>
      <c r="E85">
        <v>34</v>
      </c>
      <c r="F85">
        <v>124.94794176400291</v>
      </c>
      <c r="G85">
        <v>114</v>
      </c>
      <c r="H85">
        <v>7.125</v>
      </c>
    </row>
    <row r="86" spans="1:8" x14ac:dyDescent="0.25">
      <c r="A86" t="s">
        <v>124</v>
      </c>
      <c r="B86" t="s">
        <v>84</v>
      </c>
      <c r="C86" t="s">
        <v>89</v>
      </c>
      <c r="D86">
        <v>2021</v>
      </c>
      <c r="E86">
        <v>35</v>
      </c>
      <c r="F86">
        <v>124.94794176400291</v>
      </c>
      <c r="G86">
        <v>109</v>
      </c>
      <c r="H86">
        <v>7.2666666666666604</v>
      </c>
    </row>
    <row r="87" spans="1:8" x14ac:dyDescent="0.25">
      <c r="A87" t="s">
        <v>125</v>
      </c>
      <c r="B87" t="s">
        <v>78</v>
      </c>
      <c r="C87" t="s">
        <v>89</v>
      </c>
      <c r="D87">
        <v>2021</v>
      </c>
      <c r="E87">
        <v>36</v>
      </c>
      <c r="F87">
        <v>124.94794176400291</v>
      </c>
      <c r="G87">
        <v>120</v>
      </c>
      <c r="H87">
        <v>10.909090909090899</v>
      </c>
    </row>
    <row r="88" spans="1:8" x14ac:dyDescent="0.25">
      <c r="A88" t="s">
        <v>126</v>
      </c>
      <c r="B88" t="s">
        <v>14</v>
      </c>
      <c r="C88" t="s">
        <v>89</v>
      </c>
      <c r="D88">
        <v>2021</v>
      </c>
      <c r="E88">
        <v>37</v>
      </c>
      <c r="F88">
        <v>123.2925653629221</v>
      </c>
      <c r="G88">
        <v>185</v>
      </c>
      <c r="H88">
        <v>10.8823529411764</v>
      </c>
    </row>
    <row r="89" spans="1:8" x14ac:dyDescent="0.25">
      <c r="A89" t="s">
        <v>127</v>
      </c>
      <c r="B89" t="s">
        <v>20</v>
      </c>
      <c r="C89" t="s">
        <v>89</v>
      </c>
      <c r="D89">
        <v>2021</v>
      </c>
      <c r="E89">
        <v>38</v>
      </c>
      <c r="F89">
        <v>121.9964779403976</v>
      </c>
      <c r="G89">
        <v>95</v>
      </c>
      <c r="H89">
        <v>7.3076923076923004</v>
      </c>
    </row>
    <row r="90" spans="1:8" x14ac:dyDescent="0.25">
      <c r="A90" t="s">
        <v>128</v>
      </c>
      <c r="B90" t="s">
        <v>24</v>
      </c>
      <c r="C90" t="s">
        <v>89</v>
      </c>
      <c r="D90">
        <v>2021</v>
      </c>
      <c r="E90">
        <v>39</v>
      </c>
      <c r="F90">
        <v>119.7794790129834</v>
      </c>
      <c r="G90">
        <v>79</v>
      </c>
      <c r="H90">
        <v>6.0769230769230704</v>
      </c>
    </row>
    <row r="91" spans="1:8" x14ac:dyDescent="0.25">
      <c r="A91" t="s">
        <v>129</v>
      </c>
      <c r="B91" t="s">
        <v>12</v>
      </c>
      <c r="C91" t="s">
        <v>89</v>
      </c>
      <c r="D91">
        <v>2021</v>
      </c>
      <c r="E91">
        <v>40</v>
      </c>
      <c r="F91">
        <v>117.1103202933438</v>
      </c>
      <c r="G91">
        <v>134</v>
      </c>
      <c r="H91">
        <v>8.375</v>
      </c>
    </row>
    <row r="92" spans="1:8" x14ac:dyDescent="0.25">
      <c r="A92" t="s">
        <v>130</v>
      </c>
      <c r="B92" t="s">
        <v>43</v>
      </c>
      <c r="C92" t="s">
        <v>89</v>
      </c>
      <c r="D92">
        <v>2021</v>
      </c>
      <c r="E92">
        <v>41</v>
      </c>
      <c r="F92">
        <v>115.6972767583361</v>
      </c>
      <c r="G92">
        <v>137</v>
      </c>
      <c r="H92">
        <v>8.0588235294117592</v>
      </c>
    </row>
    <row r="93" spans="1:8" x14ac:dyDescent="0.25">
      <c r="A93" t="s">
        <v>131</v>
      </c>
      <c r="B93" t="s">
        <v>47</v>
      </c>
      <c r="C93" t="s">
        <v>89</v>
      </c>
      <c r="D93">
        <v>2021</v>
      </c>
      <c r="E93">
        <v>42</v>
      </c>
      <c r="F93">
        <v>114.9295819517789</v>
      </c>
      <c r="G93">
        <v>73</v>
      </c>
      <c r="H93">
        <v>5.21428571428571</v>
      </c>
    </row>
    <row r="94" spans="1:8" x14ac:dyDescent="0.25">
      <c r="A94" t="s">
        <v>132</v>
      </c>
      <c r="B94" t="s">
        <v>58</v>
      </c>
      <c r="C94" t="s">
        <v>89</v>
      </c>
      <c r="D94">
        <v>2021</v>
      </c>
      <c r="E94">
        <v>43</v>
      </c>
      <c r="F94">
        <v>111.3784522231134</v>
      </c>
      <c r="G94">
        <v>128</v>
      </c>
      <c r="H94">
        <v>8</v>
      </c>
    </row>
    <row r="95" spans="1:8" x14ac:dyDescent="0.25">
      <c r="A95" t="s">
        <v>133</v>
      </c>
      <c r="B95" t="s">
        <v>18</v>
      </c>
      <c r="C95" t="s">
        <v>89</v>
      </c>
      <c r="D95">
        <v>2021</v>
      </c>
      <c r="E95">
        <v>44</v>
      </c>
      <c r="F95">
        <v>110.7994923668449</v>
      </c>
      <c r="G95">
        <v>86</v>
      </c>
      <c r="H95">
        <v>9.55555555555555</v>
      </c>
    </row>
    <row r="96" spans="1:8" x14ac:dyDescent="0.25">
      <c r="A96" t="s">
        <v>134</v>
      </c>
      <c r="B96" t="s">
        <v>32</v>
      </c>
      <c r="C96" t="s">
        <v>89</v>
      </c>
      <c r="D96">
        <v>2021</v>
      </c>
      <c r="E96">
        <v>45</v>
      </c>
      <c r="F96">
        <v>110.2989606697616</v>
      </c>
      <c r="G96">
        <v>110</v>
      </c>
      <c r="H96">
        <v>8.4615384615384599</v>
      </c>
    </row>
    <row r="97" spans="1:8" x14ac:dyDescent="0.25">
      <c r="A97" t="s">
        <v>135</v>
      </c>
      <c r="B97" t="s">
        <v>51</v>
      </c>
      <c r="C97" t="s">
        <v>89</v>
      </c>
      <c r="D97">
        <v>2021</v>
      </c>
      <c r="E97">
        <v>46</v>
      </c>
      <c r="F97">
        <v>108.14078074622481</v>
      </c>
      <c r="G97">
        <v>94</v>
      </c>
      <c r="H97">
        <v>10.4444444444444</v>
      </c>
    </row>
    <row r="98" spans="1:8" x14ac:dyDescent="0.25">
      <c r="A98" t="s">
        <v>136</v>
      </c>
      <c r="B98" t="s">
        <v>16</v>
      </c>
      <c r="C98" t="s">
        <v>89</v>
      </c>
      <c r="D98">
        <v>2021</v>
      </c>
      <c r="E98">
        <v>47</v>
      </c>
      <c r="F98">
        <v>104.1541252299395</v>
      </c>
      <c r="G98">
        <v>114</v>
      </c>
      <c r="H98">
        <v>11.4</v>
      </c>
    </row>
    <row r="99" spans="1:8" x14ac:dyDescent="0.25">
      <c r="A99" t="s">
        <v>137</v>
      </c>
      <c r="B99" t="s">
        <v>26</v>
      </c>
      <c r="C99" t="s">
        <v>89</v>
      </c>
      <c r="D99">
        <v>2021</v>
      </c>
      <c r="E99">
        <v>48</v>
      </c>
      <c r="F99">
        <v>100.2130033596775</v>
      </c>
      <c r="G99">
        <v>118</v>
      </c>
      <c r="H99">
        <v>7.375</v>
      </c>
    </row>
    <row r="100" spans="1:8" x14ac:dyDescent="0.25">
      <c r="A100" t="s">
        <v>138</v>
      </c>
      <c r="B100" t="s">
        <v>10</v>
      </c>
      <c r="C100" t="s">
        <v>89</v>
      </c>
      <c r="D100">
        <v>2021</v>
      </c>
      <c r="E100">
        <v>49</v>
      </c>
      <c r="F100">
        <v>99.149009342938811</v>
      </c>
      <c r="G100">
        <v>172</v>
      </c>
      <c r="H100">
        <v>10.117647058823501</v>
      </c>
    </row>
    <row r="101" spans="1:8" x14ac:dyDescent="0.25">
      <c r="A101" t="s">
        <v>139</v>
      </c>
      <c r="B101" t="s">
        <v>36</v>
      </c>
      <c r="C101" t="s">
        <v>89</v>
      </c>
      <c r="D101">
        <v>2021</v>
      </c>
      <c r="E101">
        <v>50</v>
      </c>
      <c r="F101">
        <v>96.015955272946954</v>
      </c>
      <c r="G101">
        <v>94</v>
      </c>
      <c r="H101">
        <v>7.8333333333333304</v>
      </c>
    </row>
    <row r="102" spans="1:8" hidden="1" x14ac:dyDescent="0.25">
      <c r="A102" t="s">
        <v>140</v>
      </c>
      <c r="B102" t="s">
        <v>14</v>
      </c>
      <c r="C102" t="s">
        <v>141</v>
      </c>
      <c r="D102">
        <v>2021</v>
      </c>
      <c r="E102">
        <v>1</v>
      </c>
      <c r="F102">
        <v>295.56241049969628</v>
      </c>
      <c r="G102">
        <v>254</v>
      </c>
      <c r="H102">
        <v>15.875</v>
      </c>
    </row>
    <row r="103" spans="1:8" hidden="1" x14ac:dyDescent="0.25">
      <c r="A103" t="s">
        <v>142</v>
      </c>
      <c r="B103" t="s">
        <v>12</v>
      </c>
      <c r="C103" t="s">
        <v>141</v>
      </c>
      <c r="D103">
        <v>2021</v>
      </c>
      <c r="E103">
        <v>2</v>
      </c>
      <c r="F103">
        <v>211.58018045586371</v>
      </c>
      <c r="G103">
        <v>292</v>
      </c>
      <c r="H103">
        <v>17.176470588235201</v>
      </c>
    </row>
    <row r="104" spans="1:8" hidden="1" x14ac:dyDescent="0.25">
      <c r="A104" t="s">
        <v>143</v>
      </c>
      <c r="B104" t="s">
        <v>28</v>
      </c>
      <c r="C104" t="s">
        <v>141</v>
      </c>
      <c r="D104">
        <v>2021</v>
      </c>
      <c r="E104">
        <v>3</v>
      </c>
      <c r="F104">
        <v>208.3818416167706</v>
      </c>
      <c r="G104">
        <v>129</v>
      </c>
      <c r="H104">
        <v>11.7272727272727</v>
      </c>
    </row>
    <row r="105" spans="1:8" hidden="1" x14ac:dyDescent="0.25">
      <c r="A105" t="s">
        <v>144</v>
      </c>
      <c r="B105" t="s">
        <v>22</v>
      </c>
      <c r="C105" t="s">
        <v>141</v>
      </c>
      <c r="D105">
        <v>2021</v>
      </c>
      <c r="E105">
        <v>4</v>
      </c>
      <c r="F105">
        <v>203.3338275744353</v>
      </c>
      <c r="G105">
        <v>166</v>
      </c>
      <c r="H105">
        <v>15.090909090908999</v>
      </c>
    </row>
    <row r="106" spans="1:8" hidden="1" x14ac:dyDescent="0.25">
      <c r="A106" t="s">
        <v>145</v>
      </c>
      <c r="B106" t="s">
        <v>51</v>
      </c>
      <c r="C106" t="s">
        <v>141</v>
      </c>
      <c r="D106">
        <v>2021</v>
      </c>
      <c r="E106">
        <v>5</v>
      </c>
      <c r="F106">
        <v>198.81095605635861</v>
      </c>
      <c r="G106">
        <v>159</v>
      </c>
      <c r="H106">
        <v>10.6</v>
      </c>
    </row>
    <row r="107" spans="1:8" hidden="1" x14ac:dyDescent="0.25">
      <c r="A107" t="s">
        <v>146</v>
      </c>
      <c r="B107" t="s">
        <v>56</v>
      </c>
      <c r="C107" t="s">
        <v>141</v>
      </c>
      <c r="D107">
        <v>2021</v>
      </c>
      <c r="E107">
        <v>6</v>
      </c>
      <c r="F107">
        <v>198.6947892344063</v>
      </c>
      <c r="G107">
        <v>159</v>
      </c>
      <c r="H107">
        <v>10.6</v>
      </c>
    </row>
    <row r="108" spans="1:8" hidden="1" x14ac:dyDescent="0.25">
      <c r="A108" t="s">
        <v>147</v>
      </c>
      <c r="B108" t="s">
        <v>32</v>
      </c>
      <c r="C108" t="s">
        <v>141</v>
      </c>
      <c r="D108">
        <v>2021</v>
      </c>
      <c r="E108">
        <v>7</v>
      </c>
      <c r="F108">
        <v>198.4419704601176</v>
      </c>
      <c r="G108">
        <v>140</v>
      </c>
      <c r="H108">
        <v>12.7272727272727</v>
      </c>
    </row>
    <row r="109" spans="1:8" hidden="1" x14ac:dyDescent="0.25">
      <c r="A109" t="s">
        <v>148</v>
      </c>
      <c r="B109" t="s">
        <v>62</v>
      </c>
      <c r="C109" t="s">
        <v>141</v>
      </c>
      <c r="D109">
        <v>2021</v>
      </c>
      <c r="E109">
        <v>8</v>
      </c>
      <c r="F109">
        <v>196.32129362138321</v>
      </c>
      <c r="G109">
        <v>193</v>
      </c>
      <c r="H109">
        <v>13.785714285714199</v>
      </c>
    </row>
    <row r="110" spans="1:8" hidden="1" x14ac:dyDescent="0.25">
      <c r="A110" t="s">
        <v>149</v>
      </c>
      <c r="B110" t="s">
        <v>54</v>
      </c>
      <c r="C110" t="s">
        <v>141</v>
      </c>
      <c r="D110">
        <v>2021</v>
      </c>
      <c r="E110">
        <v>9</v>
      </c>
      <c r="F110">
        <v>195.97403792981439</v>
      </c>
      <c r="G110">
        <v>47</v>
      </c>
      <c r="H110">
        <v>5.2222222222222197</v>
      </c>
    </row>
    <row r="111" spans="1:8" hidden="1" x14ac:dyDescent="0.25">
      <c r="A111" t="s">
        <v>150</v>
      </c>
      <c r="B111" t="s">
        <v>78</v>
      </c>
      <c r="C111" t="s">
        <v>141</v>
      </c>
      <c r="D111">
        <v>2021</v>
      </c>
      <c r="E111">
        <v>10</v>
      </c>
      <c r="F111">
        <v>193.0898517637749</v>
      </c>
      <c r="G111">
        <v>53</v>
      </c>
      <c r="H111">
        <v>10.6</v>
      </c>
    </row>
    <row r="112" spans="1:8" hidden="1" x14ac:dyDescent="0.25">
      <c r="A112" t="s">
        <v>151</v>
      </c>
      <c r="B112" t="s">
        <v>34</v>
      </c>
      <c r="C112" t="s">
        <v>141</v>
      </c>
      <c r="D112">
        <v>2021</v>
      </c>
      <c r="E112">
        <v>11</v>
      </c>
      <c r="F112">
        <v>192.92058615254149</v>
      </c>
      <c r="G112">
        <v>152</v>
      </c>
      <c r="H112">
        <v>9.5</v>
      </c>
    </row>
    <row r="113" spans="1:8" hidden="1" x14ac:dyDescent="0.25">
      <c r="A113" t="s">
        <v>152</v>
      </c>
      <c r="B113" t="s">
        <v>49</v>
      </c>
      <c r="C113" t="s">
        <v>141</v>
      </c>
      <c r="D113">
        <v>2021</v>
      </c>
      <c r="E113">
        <v>12</v>
      </c>
      <c r="F113">
        <v>192.02782020861159</v>
      </c>
      <c r="G113">
        <v>201</v>
      </c>
      <c r="H113">
        <v>11.823529411764699</v>
      </c>
    </row>
    <row r="114" spans="1:8" hidden="1" x14ac:dyDescent="0.25">
      <c r="A114" t="s">
        <v>153</v>
      </c>
      <c r="B114" t="s">
        <v>10</v>
      </c>
      <c r="C114" t="s">
        <v>141</v>
      </c>
      <c r="D114">
        <v>2021</v>
      </c>
      <c r="E114">
        <v>13</v>
      </c>
      <c r="F114">
        <v>191.77806503843149</v>
      </c>
      <c r="G114">
        <v>46</v>
      </c>
      <c r="H114">
        <v>5.75</v>
      </c>
    </row>
    <row r="115" spans="1:8" hidden="1" x14ac:dyDescent="0.25">
      <c r="A115" t="s">
        <v>154</v>
      </c>
      <c r="B115" t="s">
        <v>43</v>
      </c>
      <c r="C115" t="s">
        <v>141</v>
      </c>
      <c r="D115">
        <v>2021</v>
      </c>
      <c r="E115">
        <v>14</v>
      </c>
      <c r="F115">
        <v>191.52743731810591</v>
      </c>
      <c r="G115">
        <v>140</v>
      </c>
      <c r="H115">
        <v>9.3333333333333304</v>
      </c>
    </row>
    <row r="116" spans="1:8" hidden="1" x14ac:dyDescent="0.25">
      <c r="A116" t="s">
        <v>155</v>
      </c>
      <c r="B116" t="s">
        <v>41</v>
      </c>
      <c r="C116" t="s">
        <v>141</v>
      </c>
      <c r="D116">
        <v>2021</v>
      </c>
      <c r="E116">
        <v>15</v>
      </c>
      <c r="F116">
        <v>188.0010284279476</v>
      </c>
      <c r="G116">
        <v>30</v>
      </c>
      <c r="H116">
        <v>5</v>
      </c>
    </row>
    <row r="117" spans="1:8" hidden="1" x14ac:dyDescent="0.25">
      <c r="A117" t="s">
        <v>156</v>
      </c>
      <c r="B117" t="s">
        <v>82</v>
      </c>
      <c r="C117" t="s">
        <v>141</v>
      </c>
      <c r="D117">
        <v>2021</v>
      </c>
      <c r="E117">
        <v>16</v>
      </c>
      <c r="F117">
        <v>187.6819977696141</v>
      </c>
      <c r="G117">
        <v>156</v>
      </c>
      <c r="H117">
        <v>9.75</v>
      </c>
    </row>
    <row r="118" spans="1:8" hidden="1" x14ac:dyDescent="0.25">
      <c r="A118" t="s">
        <v>157</v>
      </c>
      <c r="B118" t="s">
        <v>30</v>
      </c>
      <c r="C118" t="s">
        <v>141</v>
      </c>
      <c r="D118">
        <v>2021</v>
      </c>
      <c r="E118">
        <v>17</v>
      </c>
      <c r="F118">
        <v>186.63628557796841</v>
      </c>
      <c r="G118">
        <v>60</v>
      </c>
      <c r="H118">
        <v>5.4545454545454497</v>
      </c>
    </row>
    <row r="119" spans="1:8" hidden="1" x14ac:dyDescent="0.25">
      <c r="A119" t="s">
        <v>158</v>
      </c>
      <c r="B119" t="s">
        <v>24</v>
      </c>
      <c r="C119" t="s">
        <v>141</v>
      </c>
      <c r="D119">
        <v>2021</v>
      </c>
      <c r="E119">
        <v>18</v>
      </c>
      <c r="F119">
        <v>186.3691727108891</v>
      </c>
      <c r="G119">
        <v>124</v>
      </c>
      <c r="H119">
        <v>7.75</v>
      </c>
    </row>
    <row r="120" spans="1:8" hidden="1" x14ac:dyDescent="0.25">
      <c r="A120" t="s">
        <v>159</v>
      </c>
      <c r="B120" t="s">
        <v>45</v>
      </c>
      <c r="C120" t="s">
        <v>141</v>
      </c>
      <c r="D120">
        <v>2021</v>
      </c>
      <c r="E120">
        <v>19</v>
      </c>
      <c r="F120">
        <v>185.6755469729892</v>
      </c>
      <c r="G120">
        <v>73</v>
      </c>
      <c r="H120">
        <v>5.6153846153846096</v>
      </c>
    </row>
    <row r="121" spans="1:8" hidden="1" x14ac:dyDescent="0.25">
      <c r="A121" t="s">
        <v>160</v>
      </c>
      <c r="B121" t="s">
        <v>18</v>
      </c>
      <c r="C121" t="s">
        <v>141</v>
      </c>
      <c r="D121">
        <v>2021</v>
      </c>
      <c r="E121">
        <v>20</v>
      </c>
      <c r="F121">
        <v>185.17697302031331</v>
      </c>
      <c r="G121">
        <v>72</v>
      </c>
      <c r="H121">
        <v>4.8</v>
      </c>
    </row>
    <row r="122" spans="1:8" hidden="1" x14ac:dyDescent="0.25">
      <c r="A122" t="s">
        <v>161</v>
      </c>
      <c r="B122" t="s">
        <v>36</v>
      </c>
      <c r="C122" t="s">
        <v>141</v>
      </c>
      <c r="D122">
        <v>2021</v>
      </c>
      <c r="E122">
        <v>21</v>
      </c>
      <c r="F122">
        <v>184.13937607034961</v>
      </c>
      <c r="G122">
        <v>57</v>
      </c>
      <c r="H122">
        <v>4.75</v>
      </c>
    </row>
    <row r="123" spans="1:8" hidden="1" x14ac:dyDescent="0.25">
      <c r="A123" t="s">
        <v>162</v>
      </c>
      <c r="B123" t="s">
        <v>84</v>
      </c>
      <c r="C123" t="s">
        <v>141</v>
      </c>
      <c r="D123">
        <v>2021</v>
      </c>
      <c r="E123">
        <v>22</v>
      </c>
      <c r="F123">
        <v>183.65002273732051</v>
      </c>
      <c r="G123">
        <v>35</v>
      </c>
      <c r="H123">
        <v>4.375</v>
      </c>
    </row>
    <row r="124" spans="1:8" hidden="1" x14ac:dyDescent="0.25">
      <c r="A124" t="s">
        <v>163</v>
      </c>
      <c r="B124" t="s">
        <v>47</v>
      </c>
      <c r="C124" t="s">
        <v>141</v>
      </c>
      <c r="D124">
        <v>2021</v>
      </c>
      <c r="E124">
        <v>23</v>
      </c>
      <c r="F124">
        <v>182.89389431431579</v>
      </c>
      <c r="G124">
        <v>121</v>
      </c>
      <c r="H124">
        <v>8.0666666666666593</v>
      </c>
    </row>
    <row r="125" spans="1:8" hidden="1" x14ac:dyDescent="0.25">
      <c r="A125" t="s">
        <v>164</v>
      </c>
      <c r="B125" t="s">
        <v>22</v>
      </c>
      <c r="C125" t="s">
        <v>141</v>
      </c>
      <c r="D125">
        <v>2021</v>
      </c>
      <c r="E125">
        <v>24</v>
      </c>
      <c r="F125">
        <v>182.047579482869</v>
      </c>
      <c r="G125">
        <v>30</v>
      </c>
      <c r="H125">
        <v>4.2857142857142803</v>
      </c>
    </row>
    <row r="126" spans="1:8" hidden="1" x14ac:dyDescent="0.25">
      <c r="A126" t="s">
        <v>165</v>
      </c>
      <c r="B126" t="s">
        <v>36</v>
      </c>
      <c r="C126" t="s">
        <v>141</v>
      </c>
      <c r="D126">
        <v>2021</v>
      </c>
      <c r="E126">
        <v>25</v>
      </c>
      <c r="F126">
        <v>181.6833742284702</v>
      </c>
      <c r="G126">
        <v>87</v>
      </c>
      <c r="H126">
        <v>6.21428571428571</v>
      </c>
    </row>
    <row r="127" spans="1:8" hidden="1" x14ac:dyDescent="0.25">
      <c r="A127" t="s">
        <v>166</v>
      </c>
      <c r="B127" t="s">
        <v>34</v>
      </c>
      <c r="C127" t="s">
        <v>141</v>
      </c>
      <c r="D127">
        <v>2021</v>
      </c>
      <c r="E127">
        <v>26</v>
      </c>
      <c r="F127">
        <v>181.30047161952481</v>
      </c>
      <c r="G127">
        <v>72</v>
      </c>
      <c r="H127">
        <v>6</v>
      </c>
    </row>
    <row r="128" spans="1:8" hidden="1" x14ac:dyDescent="0.25">
      <c r="A128" t="s">
        <v>167</v>
      </c>
      <c r="B128" t="s">
        <v>20</v>
      </c>
      <c r="C128" t="s">
        <v>141</v>
      </c>
      <c r="D128">
        <v>2021</v>
      </c>
      <c r="E128">
        <v>27</v>
      </c>
      <c r="F128">
        <v>180.58087896074369</v>
      </c>
      <c r="G128">
        <v>157</v>
      </c>
      <c r="H128">
        <v>11.214285714285699</v>
      </c>
    </row>
    <row r="129" spans="1:8" hidden="1" x14ac:dyDescent="0.25">
      <c r="A129" t="s">
        <v>168</v>
      </c>
      <c r="B129" t="s">
        <v>58</v>
      </c>
      <c r="C129" t="s">
        <v>141</v>
      </c>
      <c r="D129">
        <v>2021</v>
      </c>
      <c r="E129">
        <v>28</v>
      </c>
      <c r="F129">
        <v>180.47049481166869</v>
      </c>
      <c r="G129">
        <v>97</v>
      </c>
      <c r="H129">
        <v>6.4666666666666597</v>
      </c>
    </row>
    <row r="130" spans="1:8" hidden="1" x14ac:dyDescent="0.25">
      <c r="A130" t="s">
        <v>169</v>
      </c>
      <c r="B130" t="s">
        <v>45</v>
      </c>
      <c r="C130" t="s">
        <v>141</v>
      </c>
      <c r="D130">
        <v>2021</v>
      </c>
      <c r="E130">
        <v>29</v>
      </c>
      <c r="F130">
        <v>179.85062682469459</v>
      </c>
      <c r="G130">
        <v>77</v>
      </c>
      <c r="H130">
        <v>5.9230769230769198</v>
      </c>
    </row>
    <row r="131" spans="1:8" hidden="1" x14ac:dyDescent="0.25">
      <c r="A131" t="s">
        <v>170</v>
      </c>
      <c r="B131" t="s">
        <v>22</v>
      </c>
      <c r="C131" t="s">
        <v>141</v>
      </c>
      <c r="D131">
        <v>2021</v>
      </c>
      <c r="E131">
        <v>30</v>
      </c>
      <c r="F131">
        <v>179.8152850668375</v>
      </c>
      <c r="G131">
        <v>72</v>
      </c>
      <c r="H131">
        <v>4.8</v>
      </c>
    </row>
    <row r="132" spans="1:8" hidden="1" x14ac:dyDescent="0.25">
      <c r="A132" t="s">
        <v>171</v>
      </c>
      <c r="B132" t="s">
        <v>97</v>
      </c>
      <c r="C132" t="s">
        <v>141</v>
      </c>
      <c r="D132">
        <v>2021</v>
      </c>
      <c r="E132">
        <v>31</v>
      </c>
      <c r="F132">
        <v>179.79685906437709</v>
      </c>
      <c r="G132">
        <v>47</v>
      </c>
      <c r="H132">
        <v>6.71428571428571</v>
      </c>
    </row>
    <row r="133" spans="1:8" hidden="1" x14ac:dyDescent="0.25">
      <c r="A133" t="s">
        <v>172</v>
      </c>
      <c r="B133" t="s">
        <v>62</v>
      </c>
      <c r="C133" t="s">
        <v>141</v>
      </c>
      <c r="D133">
        <v>2021</v>
      </c>
      <c r="E133">
        <v>32</v>
      </c>
      <c r="F133">
        <v>179.54665429566651</v>
      </c>
      <c r="G133">
        <v>14</v>
      </c>
      <c r="H133">
        <v>4.6666666666666599</v>
      </c>
    </row>
    <row r="134" spans="1:8" hidden="1" x14ac:dyDescent="0.25">
      <c r="A134" t="s">
        <v>173</v>
      </c>
      <c r="B134" t="s">
        <v>54</v>
      </c>
      <c r="C134" t="s">
        <v>141</v>
      </c>
      <c r="D134">
        <v>2021</v>
      </c>
      <c r="E134">
        <v>33</v>
      </c>
      <c r="F134">
        <v>179.53216336834731</v>
      </c>
      <c r="G134">
        <v>114</v>
      </c>
      <c r="H134">
        <v>6.7058823529411704</v>
      </c>
    </row>
    <row r="135" spans="1:8" hidden="1" x14ac:dyDescent="0.25">
      <c r="A135" t="s">
        <v>174</v>
      </c>
      <c r="B135" t="s">
        <v>56</v>
      </c>
      <c r="C135" t="s">
        <v>141</v>
      </c>
      <c r="D135">
        <v>2021</v>
      </c>
      <c r="E135">
        <v>34</v>
      </c>
      <c r="F135">
        <v>179.3792278100002</v>
      </c>
      <c r="G135">
        <v>63</v>
      </c>
      <c r="H135">
        <v>4.8461538461538396</v>
      </c>
    </row>
    <row r="136" spans="1:8" hidden="1" x14ac:dyDescent="0.25">
      <c r="A136" t="s">
        <v>175</v>
      </c>
      <c r="B136" t="s">
        <v>36</v>
      </c>
      <c r="C136" t="s">
        <v>141</v>
      </c>
      <c r="D136">
        <v>2021</v>
      </c>
      <c r="E136">
        <v>35</v>
      </c>
      <c r="F136">
        <v>179.34646546313149</v>
      </c>
      <c r="G136">
        <v>99</v>
      </c>
      <c r="H136">
        <v>7.0714285714285703</v>
      </c>
    </row>
    <row r="137" spans="1:8" hidden="1" x14ac:dyDescent="0.25">
      <c r="A137" t="s">
        <v>176</v>
      </c>
      <c r="B137" t="s">
        <v>24</v>
      </c>
      <c r="C137" t="s">
        <v>141</v>
      </c>
      <c r="D137">
        <v>2021</v>
      </c>
      <c r="E137">
        <v>36</v>
      </c>
      <c r="F137">
        <v>179.19027974703269</v>
      </c>
      <c r="G137">
        <v>53</v>
      </c>
      <c r="H137">
        <v>5.3</v>
      </c>
    </row>
    <row r="138" spans="1:8" hidden="1" x14ac:dyDescent="0.25">
      <c r="A138" t="s">
        <v>177</v>
      </c>
      <c r="B138" t="s">
        <v>26</v>
      </c>
      <c r="C138" t="s">
        <v>141</v>
      </c>
      <c r="D138">
        <v>2021</v>
      </c>
      <c r="E138">
        <v>37</v>
      </c>
      <c r="F138">
        <v>179.17808104759371</v>
      </c>
      <c r="G138">
        <v>131</v>
      </c>
      <c r="H138">
        <v>7.7058823529411704</v>
      </c>
    </row>
    <row r="139" spans="1:8" hidden="1" x14ac:dyDescent="0.25">
      <c r="A139" t="s">
        <v>178</v>
      </c>
      <c r="B139" t="s">
        <v>49</v>
      </c>
      <c r="C139" t="s">
        <v>141</v>
      </c>
      <c r="D139">
        <v>2021</v>
      </c>
      <c r="E139">
        <v>38</v>
      </c>
      <c r="F139">
        <v>179.16366718075949</v>
      </c>
      <c r="G139">
        <v>30</v>
      </c>
      <c r="H139">
        <v>5</v>
      </c>
    </row>
    <row r="140" spans="1:8" hidden="1" x14ac:dyDescent="0.25">
      <c r="A140" t="s">
        <v>179</v>
      </c>
      <c r="B140" t="s">
        <v>66</v>
      </c>
      <c r="C140" t="s">
        <v>141</v>
      </c>
      <c r="D140">
        <v>2021</v>
      </c>
      <c r="E140">
        <v>39</v>
      </c>
      <c r="F140">
        <v>179.09452248026361</v>
      </c>
      <c r="G140">
        <v>59</v>
      </c>
      <c r="H140">
        <v>5.9</v>
      </c>
    </row>
    <row r="141" spans="1:8" hidden="1" x14ac:dyDescent="0.25">
      <c r="A141" t="s">
        <v>180</v>
      </c>
      <c r="B141" t="s">
        <v>18</v>
      </c>
      <c r="C141" t="s">
        <v>141</v>
      </c>
      <c r="D141">
        <v>2021</v>
      </c>
      <c r="E141">
        <v>40</v>
      </c>
      <c r="F141">
        <v>178.84413344750089</v>
      </c>
      <c r="G141">
        <v>63</v>
      </c>
      <c r="H141">
        <v>4.8461538461538396</v>
      </c>
    </row>
    <row r="142" spans="1:8" hidden="1" x14ac:dyDescent="0.25">
      <c r="A142" t="s">
        <v>181</v>
      </c>
      <c r="B142" t="s">
        <v>28</v>
      </c>
      <c r="C142" t="s">
        <v>141</v>
      </c>
      <c r="D142">
        <v>2021</v>
      </c>
      <c r="E142">
        <v>41</v>
      </c>
      <c r="F142">
        <v>178.78995966602511</v>
      </c>
      <c r="G142">
        <v>80</v>
      </c>
      <c r="H142">
        <v>6.6666666666666599</v>
      </c>
    </row>
    <row r="143" spans="1:8" hidden="1" x14ac:dyDescent="0.25">
      <c r="A143" t="s">
        <v>182</v>
      </c>
      <c r="B143" t="s">
        <v>54</v>
      </c>
      <c r="C143" t="s">
        <v>141</v>
      </c>
      <c r="D143">
        <v>2021</v>
      </c>
      <c r="E143">
        <v>42</v>
      </c>
      <c r="F143">
        <v>178.71116508861331</v>
      </c>
      <c r="G143">
        <v>18</v>
      </c>
      <c r="H143">
        <v>6</v>
      </c>
    </row>
    <row r="144" spans="1:8" hidden="1" x14ac:dyDescent="0.25">
      <c r="A144" t="s">
        <v>183</v>
      </c>
      <c r="B144" t="s">
        <v>66</v>
      </c>
      <c r="C144" t="s">
        <v>141</v>
      </c>
      <c r="D144">
        <v>2021</v>
      </c>
      <c r="E144">
        <v>43</v>
      </c>
      <c r="F144">
        <v>178.5650710781243</v>
      </c>
      <c r="G144">
        <v>27</v>
      </c>
      <c r="H144">
        <v>5.4</v>
      </c>
    </row>
    <row r="145" spans="1:8" hidden="1" x14ac:dyDescent="0.25">
      <c r="A145" t="s">
        <v>184</v>
      </c>
      <c r="B145" t="s">
        <v>16</v>
      </c>
      <c r="C145" t="s">
        <v>141</v>
      </c>
      <c r="D145">
        <v>2021</v>
      </c>
      <c r="E145">
        <v>44</v>
      </c>
      <c r="F145">
        <v>178.5559425972387</v>
      </c>
      <c r="G145">
        <v>114</v>
      </c>
      <c r="H145">
        <v>7.6</v>
      </c>
    </row>
    <row r="146" spans="1:8" hidden="1" x14ac:dyDescent="0.25">
      <c r="A146" t="s">
        <v>185</v>
      </c>
      <c r="B146" t="s">
        <v>10</v>
      </c>
      <c r="C146" t="s">
        <v>141</v>
      </c>
      <c r="D146">
        <v>2021</v>
      </c>
      <c r="E146">
        <v>45</v>
      </c>
      <c r="F146">
        <v>178.47532097871229</v>
      </c>
      <c r="G146">
        <v>56</v>
      </c>
      <c r="H146">
        <v>4.6666666666666599</v>
      </c>
    </row>
    <row r="147" spans="1:8" hidden="1" x14ac:dyDescent="0.25">
      <c r="A147" t="s">
        <v>186</v>
      </c>
      <c r="B147" t="s">
        <v>84</v>
      </c>
      <c r="C147" t="s">
        <v>141</v>
      </c>
      <c r="D147">
        <v>2021</v>
      </c>
      <c r="E147">
        <v>46</v>
      </c>
      <c r="F147">
        <v>178.4448869361897</v>
      </c>
      <c r="G147">
        <v>58</v>
      </c>
      <c r="H147">
        <v>4.1428571428571397</v>
      </c>
    </row>
    <row r="148" spans="1:8" hidden="1" x14ac:dyDescent="0.25">
      <c r="A148" t="s">
        <v>187</v>
      </c>
      <c r="B148" t="s">
        <v>18</v>
      </c>
      <c r="C148" t="s">
        <v>141</v>
      </c>
      <c r="D148">
        <v>2021</v>
      </c>
      <c r="E148">
        <v>47</v>
      </c>
      <c r="F148">
        <v>178.34986728453191</v>
      </c>
      <c r="G148">
        <v>45</v>
      </c>
      <c r="H148">
        <v>4.5</v>
      </c>
    </row>
    <row r="149" spans="1:8" hidden="1" x14ac:dyDescent="0.25">
      <c r="A149" t="s">
        <v>188</v>
      </c>
      <c r="B149" t="s">
        <v>54</v>
      </c>
      <c r="C149" t="s">
        <v>141</v>
      </c>
      <c r="D149">
        <v>2021</v>
      </c>
      <c r="E149">
        <v>48</v>
      </c>
      <c r="F149">
        <v>177.79379564100699</v>
      </c>
      <c r="G149">
        <v>15</v>
      </c>
      <c r="H149">
        <v>7.5</v>
      </c>
    </row>
    <row r="150" spans="1:8" hidden="1" x14ac:dyDescent="0.25">
      <c r="A150" t="s">
        <v>189</v>
      </c>
      <c r="B150" t="s">
        <v>78</v>
      </c>
      <c r="C150" t="s">
        <v>141</v>
      </c>
      <c r="D150">
        <v>2021</v>
      </c>
      <c r="E150">
        <v>49</v>
      </c>
      <c r="F150">
        <v>177.79379564100699</v>
      </c>
      <c r="G150">
        <v>64</v>
      </c>
      <c r="H150">
        <v>5.8181818181818103</v>
      </c>
    </row>
    <row r="151" spans="1:8" hidden="1" x14ac:dyDescent="0.25">
      <c r="A151" t="s">
        <v>190</v>
      </c>
      <c r="B151" t="s">
        <v>7</v>
      </c>
      <c r="C151" t="s">
        <v>141</v>
      </c>
      <c r="D151">
        <v>2021</v>
      </c>
      <c r="E151">
        <v>50</v>
      </c>
      <c r="F151">
        <v>177.5337470945303</v>
      </c>
      <c r="G151">
        <v>39</v>
      </c>
      <c r="H151">
        <v>9.75</v>
      </c>
    </row>
    <row r="152" spans="1:8" hidden="1" x14ac:dyDescent="0.25">
      <c r="A152" t="s">
        <v>191</v>
      </c>
      <c r="B152" t="s">
        <v>20</v>
      </c>
      <c r="C152" t="s">
        <v>192</v>
      </c>
      <c r="D152">
        <v>2021</v>
      </c>
      <c r="E152">
        <v>1</v>
      </c>
      <c r="F152">
        <v>251.60167292216661</v>
      </c>
      <c r="G152">
        <v>279</v>
      </c>
      <c r="H152">
        <v>16.411764705882302</v>
      </c>
    </row>
    <row r="153" spans="1:8" hidden="1" x14ac:dyDescent="0.25">
      <c r="A153" t="s">
        <v>193</v>
      </c>
      <c r="B153" t="s">
        <v>10</v>
      </c>
      <c r="C153" t="s">
        <v>192</v>
      </c>
      <c r="D153">
        <v>2021</v>
      </c>
      <c r="E153">
        <v>2</v>
      </c>
      <c r="F153">
        <v>249.14653672125331</v>
      </c>
      <c r="G153">
        <v>337</v>
      </c>
      <c r="H153">
        <v>21.0625</v>
      </c>
    </row>
    <row r="154" spans="1:8" hidden="1" x14ac:dyDescent="0.25">
      <c r="A154" t="s">
        <v>194</v>
      </c>
      <c r="B154" t="s">
        <v>7</v>
      </c>
      <c r="C154" t="s">
        <v>192</v>
      </c>
      <c r="D154">
        <v>2021</v>
      </c>
      <c r="E154">
        <v>3</v>
      </c>
      <c r="F154">
        <v>246.99614821941759</v>
      </c>
      <c r="G154">
        <v>143</v>
      </c>
      <c r="H154">
        <v>14.3</v>
      </c>
    </row>
    <row r="155" spans="1:8" hidden="1" x14ac:dyDescent="0.25">
      <c r="A155" t="s">
        <v>195</v>
      </c>
      <c r="B155" t="s">
        <v>14</v>
      </c>
      <c r="C155" t="s">
        <v>192</v>
      </c>
      <c r="D155">
        <v>2021</v>
      </c>
      <c r="E155">
        <v>4</v>
      </c>
      <c r="F155">
        <v>237.2697605738646</v>
      </c>
      <c r="G155">
        <v>286</v>
      </c>
      <c r="H155">
        <v>16.823529411764699</v>
      </c>
    </row>
    <row r="156" spans="1:8" hidden="1" x14ac:dyDescent="0.25">
      <c r="A156" t="s">
        <v>196</v>
      </c>
      <c r="B156" t="s">
        <v>22</v>
      </c>
      <c r="C156" t="s">
        <v>192</v>
      </c>
      <c r="D156">
        <v>2021</v>
      </c>
      <c r="E156">
        <v>5</v>
      </c>
      <c r="F156">
        <v>232.66642245356871</v>
      </c>
      <c r="G156">
        <v>254</v>
      </c>
      <c r="H156">
        <v>15.875</v>
      </c>
    </row>
    <row r="157" spans="1:8" hidden="1" x14ac:dyDescent="0.25">
      <c r="A157" t="s">
        <v>197</v>
      </c>
      <c r="B157" t="s">
        <v>22</v>
      </c>
      <c r="C157" t="s">
        <v>192</v>
      </c>
      <c r="D157">
        <v>2021</v>
      </c>
      <c r="E157">
        <v>6</v>
      </c>
      <c r="F157">
        <v>231.89297891122251</v>
      </c>
      <c r="G157">
        <v>237</v>
      </c>
      <c r="H157">
        <v>16.928571428571399</v>
      </c>
    </row>
    <row r="158" spans="1:8" hidden="1" x14ac:dyDescent="0.25">
      <c r="A158" t="s">
        <v>198</v>
      </c>
      <c r="B158" t="s">
        <v>26</v>
      </c>
      <c r="C158" t="s">
        <v>192</v>
      </c>
      <c r="D158">
        <v>2021</v>
      </c>
      <c r="E158">
        <v>7</v>
      </c>
      <c r="F158">
        <v>230.5271098356699</v>
      </c>
      <c r="G158">
        <v>321</v>
      </c>
      <c r="H158">
        <v>18.8823529411764</v>
      </c>
    </row>
    <row r="159" spans="1:8" hidden="1" x14ac:dyDescent="0.25">
      <c r="A159" t="s">
        <v>199</v>
      </c>
      <c r="B159" t="s">
        <v>16</v>
      </c>
      <c r="C159" t="s">
        <v>192</v>
      </c>
      <c r="D159">
        <v>2021</v>
      </c>
      <c r="E159">
        <v>8</v>
      </c>
      <c r="F159">
        <v>228.2992904849732</v>
      </c>
      <c r="G159">
        <v>237</v>
      </c>
      <c r="H159">
        <v>13.9411764705882</v>
      </c>
    </row>
    <row r="160" spans="1:8" hidden="1" x14ac:dyDescent="0.25">
      <c r="A160" t="s">
        <v>200</v>
      </c>
      <c r="B160" t="s">
        <v>62</v>
      </c>
      <c r="C160" t="s">
        <v>192</v>
      </c>
      <c r="D160">
        <v>2021</v>
      </c>
      <c r="E160">
        <v>9</v>
      </c>
      <c r="F160">
        <v>227.52473823971161</v>
      </c>
      <c r="G160">
        <v>162</v>
      </c>
      <c r="H160">
        <v>10.125</v>
      </c>
    </row>
    <row r="161" spans="1:8" hidden="1" x14ac:dyDescent="0.25">
      <c r="A161" t="s">
        <v>201</v>
      </c>
      <c r="B161" t="s">
        <v>43</v>
      </c>
      <c r="C161" t="s">
        <v>192</v>
      </c>
      <c r="D161">
        <v>2021</v>
      </c>
      <c r="E161">
        <v>10</v>
      </c>
      <c r="F161">
        <v>226.0724827242623</v>
      </c>
      <c r="G161">
        <v>430</v>
      </c>
      <c r="H161">
        <v>25.294117647058801</v>
      </c>
    </row>
    <row r="162" spans="1:8" hidden="1" x14ac:dyDescent="0.25">
      <c r="A162" t="s">
        <v>202</v>
      </c>
      <c r="B162" t="s">
        <v>49</v>
      </c>
      <c r="C162" t="s">
        <v>192</v>
      </c>
      <c r="D162">
        <v>2021</v>
      </c>
      <c r="E162">
        <v>11</v>
      </c>
      <c r="F162">
        <v>224.65895512461671</v>
      </c>
      <c r="G162">
        <v>225</v>
      </c>
      <c r="H162">
        <v>14.0625</v>
      </c>
    </row>
    <row r="163" spans="1:8" hidden="1" x14ac:dyDescent="0.25">
      <c r="A163" t="s">
        <v>203</v>
      </c>
      <c r="B163" t="s">
        <v>43</v>
      </c>
      <c r="C163" t="s">
        <v>192</v>
      </c>
      <c r="D163">
        <v>2021</v>
      </c>
      <c r="E163">
        <v>12</v>
      </c>
      <c r="F163">
        <v>224.54124700169791</v>
      </c>
      <c r="G163">
        <v>131</v>
      </c>
      <c r="H163">
        <v>14.5555555555555</v>
      </c>
    </row>
    <row r="164" spans="1:8" hidden="1" x14ac:dyDescent="0.25">
      <c r="A164" t="s">
        <v>204</v>
      </c>
      <c r="B164" t="s">
        <v>24</v>
      </c>
      <c r="C164" t="s">
        <v>192</v>
      </c>
      <c r="D164">
        <v>2021</v>
      </c>
      <c r="E164">
        <v>13</v>
      </c>
      <c r="F164">
        <v>223.82090201545881</v>
      </c>
      <c r="G164">
        <v>251</v>
      </c>
      <c r="H164">
        <v>15.6875</v>
      </c>
    </row>
    <row r="165" spans="1:8" hidden="1" x14ac:dyDescent="0.25">
      <c r="A165" t="s">
        <v>205</v>
      </c>
      <c r="B165" t="s">
        <v>18</v>
      </c>
      <c r="C165" t="s">
        <v>192</v>
      </c>
      <c r="D165">
        <v>2021</v>
      </c>
      <c r="E165">
        <v>14</v>
      </c>
      <c r="F165">
        <v>222.69162540052261</v>
      </c>
      <c r="G165">
        <v>174</v>
      </c>
      <c r="H165">
        <v>13.3846153846153</v>
      </c>
    </row>
    <row r="166" spans="1:8" hidden="1" x14ac:dyDescent="0.25">
      <c r="A166" t="s">
        <v>206</v>
      </c>
      <c r="B166" t="s">
        <v>49</v>
      </c>
      <c r="C166" t="s">
        <v>192</v>
      </c>
      <c r="D166">
        <v>2021</v>
      </c>
      <c r="E166">
        <v>15</v>
      </c>
      <c r="F166">
        <v>222.3142538724463</v>
      </c>
      <c r="G166">
        <v>195</v>
      </c>
      <c r="H166">
        <v>13</v>
      </c>
    </row>
    <row r="167" spans="1:8" hidden="1" x14ac:dyDescent="0.25">
      <c r="A167" t="s">
        <v>207</v>
      </c>
      <c r="B167" t="s">
        <v>41</v>
      </c>
      <c r="C167" t="s">
        <v>192</v>
      </c>
      <c r="D167">
        <v>2021</v>
      </c>
      <c r="E167">
        <v>16</v>
      </c>
      <c r="F167">
        <v>219.4354780771809</v>
      </c>
      <c r="G167">
        <v>159</v>
      </c>
      <c r="H167">
        <v>10.6</v>
      </c>
    </row>
    <row r="168" spans="1:8" hidden="1" x14ac:dyDescent="0.25">
      <c r="A168" t="s">
        <v>208</v>
      </c>
      <c r="B168" t="s">
        <v>41</v>
      </c>
      <c r="C168" t="s">
        <v>192</v>
      </c>
      <c r="D168">
        <v>2021</v>
      </c>
      <c r="E168">
        <v>17</v>
      </c>
      <c r="F168">
        <v>218.84700692507531</v>
      </c>
      <c r="G168">
        <v>269</v>
      </c>
      <c r="H168">
        <v>16.8125</v>
      </c>
    </row>
    <row r="169" spans="1:8" hidden="1" x14ac:dyDescent="0.25">
      <c r="A169" t="s">
        <v>209</v>
      </c>
      <c r="B169" t="s">
        <v>47</v>
      </c>
      <c r="C169" t="s">
        <v>192</v>
      </c>
      <c r="D169">
        <v>2021</v>
      </c>
      <c r="E169">
        <v>18</v>
      </c>
      <c r="F169">
        <v>218.215753522917</v>
      </c>
      <c r="G169">
        <v>214</v>
      </c>
      <c r="H169">
        <v>15.285714285714199</v>
      </c>
    </row>
    <row r="170" spans="1:8" hidden="1" x14ac:dyDescent="0.25">
      <c r="A170" t="s">
        <v>210</v>
      </c>
      <c r="B170" t="s">
        <v>78</v>
      </c>
      <c r="C170" t="s">
        <v>192</v>
      </c>
      <c r="D170">
        <v>2021</v>
      </c>
      <c r="E170">
        <v>19</v>
      </c>
      <c r="F170">
        <v>218.12652139131191</v>
      </c>
      <c r="G170">
        <v>208</v>
      </c>
      <c r="H170">
        <v>13</v>
      </c>
    </row>
    <row r="171" spans="1:8" hidden="1" x14ac:dyDescent="0.25">
      <c r="A171" t="s">
        <v>211</v>
      </c>
      <c r="B171" t="s">
        <v>39</v>
      </c>
      <c r="C171" t="s">
        <v>192</v>
      </c>
      <c r="D171">
        <v>2021</v>
      </c>
      <c r="E171">
        <v>20</v>
      </c>
      <c r="F171">
        <v>216.08089232117311</v>
      </c>
      <c r="G171">
        <v>229</v>
      </c>
      <c r="H171">
        <v>13.4705882352941</v>
      </c>
    </row>
    <row r="172" spans="1:8" hidden="1" x14ac:dyDescent="0.25">
      <c r="A172" t="s">
        <v>212</v>
      </c>
      <c r="B172" t="s">
        <v>97</v>
      </c>
      <c r="C172" t="s">
        <v>192</v>
      </c>
      <c r="D172">
        <v>2021</v>
      </c>
      <c r="E172">
        <v>21</v>
      </c>
      <c r="F172">
        <v>216.04207566372111</v>
      </c>
      <c r="G172">
        <v>174</v>
      </c>
      <c r="H172">
        <v>10.235294117646999</v>
      </c>
    </row>
    <row r="173" spans="1:8" hidden="1" x14ac:dyDescent="0.25">
      <c r="A173" t="s">
        <v>213</v>
      </c>
      <c r="B173" t="s">
        <v>73</v>
      </c>
      <c r="C173" t="s">
        <v>192</v>
      </c>
      <c r="D173">
        <v>2021</v>
      </c>
      <c r="E173">
        <v>22</v>
      </c>
      <c r="F173">
        <v>214.81731375685791</v>
      </c>
      <c r="G173">
        <v>223</v>
      </c>
      <c r="H173">
        <v>13.9375</v>
      </c>
    </row>
    <row r="174" spans="1:8" hidden="1" x14ac:dyDescent="0.25">
      <c r="A174" t="s">
        <v>214</v>
      </c>
      <c r="B174" t="s">
        <v>36</v>
      </c>
      <c r="C174" t="s">
        <v>192</v>
      </c>
      <c r="D174">
        <v>2021</v>
      </c>
      <c r="E174">
        <v>23</v>
      </c>
      <c r="F174">
        <v>213.90379833962371</v>
      </c>
      <c r="G174">
        <v>128</v>
      </c>
      <c r="H174">
        <v>10.6666666666666</v>
      </c>
    </row>
    <row r="175" spans="1:8" hidden="1" x14ac:dyDescent="0.25">
      <c r="A175" t="s">
        <v>215</v>
      </c>
      <c r="B175" t="s">
        <v>20</v>
      </c>
      <c r="C175" t="s">
        <v>192</v>
      </c>
      <c r="D175">
        <v>2021</v>
      </c>
      <c r="E175">
        <v>24</v>
      </c>
      <c r="F175">
        <v>213.3060777394293</v>
      </c>
      <c r="G175">
        <v>125</v>
      </c>
      <c r="H175">
        <v>9.6153846153846096</v>
      </c>
    </row>
    <row r="176" spans="1:8" hidden="1" x14ac:dyDescent="0.25">
      <c r="A176" t="s">
        <v>216</v>
      </c>
      <c r="B176" t="s">
        <v>26</v>
      </c>
      <c r="C176" t="s">
        <v>192</v>
      </c>
      <c r="D176">
        <v>2021</v>
      </c>
      <c r="E176">
        <v>25</v>
      </c>
      <c r="F176">
        <v>213.1890542799002</v>
      </c>
      <c r="G176">
        <v>195</v>
      </c>
      <c r="H176">
        <v>15</v>
      </c>
    </row>
    <row r="177" spans="1:8" hidden="1" x14ac:dyDescent="0.25">
      <c r="A177" t="s">
        <v>217</v>
      </c>
      <c r="B177" t="s">
        <v>16</v>
      </c>
      <c r="C177" t="s">
        <v>192</v>
      </c>
      <c r="D177">
        <v>2021</v>
      </c>
      <c r="E177">
        <v>26</v>
      </c>
      <c r="F177">
        <v>211.9665931886932</v>
      </c>
      <c r="G177">
        <v>234</v>
      </c>
      <c r="H177">
        <v>14.625</v>
      </c>
    </row>
    <row r="178" spans="1:8" hidden="1" x14ac:dyDescent="0.25">
      <c r="A178" t="s">
        <v>218</v>
      </c>
      <c r="B178" t="s">
        <v>47</v>
      </c>
      <c r="C178" t="s">
        <v>192</v>
      </c>
      <c r="D178">
        <v>2021</v>
      </c>
      <c r="E178">
        <v>27</v>
      </c>
      <c r="F178">
        <v>211.8469702791634</v>
      </c>
      <c r="G178">
        <v>173</v>
      </c>
      <c r="H178">
        <v>10.8125</v>
      </c>
    </row>
    <row r="179" spans="1:8" hidden="1" x14ac:dyDescent="0.25">
      <c r="A179" t="s">
        <v>219</v>
      </c>
      <c r="B179" t="s">
        <v>39</v>
      </c>
      <c r="C179" t="s">
        <v>192</v>
      </c>
      <c r="D179">
        <v>2021</v>
      </c>
      <c r="E179">
        <v>28</v>
      </c>
      <c r="F179">
        <v>211.76936844835609</v>
      </c>
      <c r="G179">
        <v>131</v>
      </c>
      <c r="H179">
        <v>8.1875</v>
      </c>
    </row>
    <row r="180" spans="1:8" hidden="1" x14ac:dyDescent="0.25">
      <c r="A180" t="s">
        <v>220</v>
      </c>
      <c r="B180" t="s">
        <v>62</v>
      </c>
      <c r="C180" t="s">
        <v>192</v>
      </c>
      <c r="D180">
        <v>2021</v>
      </c>
      <c r="E180">
        <v>29</v>
      </c>
      <c r="F180">
        <v>210.2615086442724</v>
      </c>
      <c r="G180">
        <v>329</v>
      </c>
      <c r="H180">
        <v>20.5625</v>
      </c>
    </row>
    <row r="181" spans="1:8" hidden="1" x14ac:dyDescent="0.25">
      <c r="A181" t="s">
        <v>221</v>
      </c>
      <c r="B181" t="s">
        <v>20</v>
      </c>
      <c r="C181" t="s">
        <v>192</v>
      </c>
      <c r="D181">
        <v>2021</v>
      </c>
      <c r="E181">
        <v>30</v>
      </c>
      <c r="F181">
        <v>207.1763824857278</v>
      </c>
      <c r="G181">
        <v>153</v>
      </c>
      <c r="H181">
        <v>9.5625</v>
      </c>
    </row>
    <row r="182" spans="1:8" hidden="1" x14ac:dyDescent="0.25">
      <c r="A182" t="s">
        <v>222</v>
      </c>
      <c r="B182" t="s">
        <v>54</v>
      </c>
      <c r="C182" t="s">
        <v>192</v>
      </c>
      <c r="D182">
        <v>2021</v>
      </c>
      <c r="E182">
        <v>31</v>
      </c>
      <c r="F182">
        <v>205.4240477495301</v>
      </c>
      <c r="G182">
        <v>209</v>
      </c>
      <c r="H182">
        <v>12.294117647058799</v>
      </c>
    </row>
    <row r="183" spans="1:8" hidden="1" x14ac:dyDescent="0.25">
      <c r="A183" t="s">
        <v>223</v>
      </c>
      <c r="B183" t="s">
        <v>30</v>
      </c>
      <c r="C183" t="s">
        <v>192</v>
      </c>
      <c r="D183">
        <v>2021</v>
      </c>
      <c r="E183">
        <v>32</v>
      </c>
      <c r="F183">
        <v>203.418078903121</v>
      </c>
      <c r="G183">
        <v>160</v>
      </c>
      <c r="H183">
        <v>14.545454545454501</v>
      </c>
    </row>
    <row r="184" spans="1:8" hidden="1" x14ac:dyDescent="0.25">
      <c r="A184" t="s">
        <v>224</v>
      </c>
      <c r="B184" t="s">
        <v>12</v>
      </c>
      <c r="C184" t="s">
        <v>192</v>
      </c>
      <c r="D184">
        <v>2021</v>
      </c>
      <c r="E184">
        <v>33</v>
      </c>
      <c r="F184">
        <v>203.20668655901011</v>
      </c>
      <c r="G184">
        <v>220</v>
      </c>
      <c r="H184">
        <v>13.75</v>
      </c>
    </row>
    <row r="185" spans="1:8" hidden="1" x14ac:dyDescent="0.25">
      <c r="A185" t="s">
        <v>225</v>
      </c>
      <c r="B185" t="s">
        <v>7</v>
      </c>
      <c r="C185" t="s">
        <v>192</v>
      </c>
      <c r="D185">
        <v>2021</v>
      </c>
      <c r="E185">
        <v>34</v>
      </c>
      <c r="F185">
        <v>198.47267735480401</v>
      </c>
      <c r="G185">
        <v>199</v>
      </c>
      <c r="H185">
        <v>11.705882352941099</v>
      </c>
    </row>
    <row r="186" spans="1:8" hidden="1" x14ac:dyDescent="0.25">
      <c r="A186" t="s">
        <v>226</v>
      </c>
      <c r="B186" t="s">
        <v>20</v>
      </c>
      <c r="C186" t="s">
        <v>192</v>
      </c>
      <c r="D186">
        <v>2021</v>
      </c>
      <c r="E186">
        <v>35</v>
      </c>
      <c r="F186">
        <v>197.46801343710811</v>
      </c>
      <c r="G186">
        <v>120</v>
      </c>
      <c r="H186">
        <v>9.2307692307692299</v>
      </c>
    </row>
    <row r="187" spans="1:8" hidden="1" x14ac:dyDescent="0.25">
      <c r="A187" t="s">
        <v>227</v>
      </c>
      <c r="B187" t="s">
        <v>82</v>
      </c>
      <c r="C187" t="s">
        <v>192</v>
      </c>
      <c r="D187">
        <v>2021</v>
      </c>
      <c r="E187">
        <v>36</v>
      </c>
      <c r="F187">
        <v>196.55651441739519</v>
      </c>
      <c r="G187">
        <v>177</v>
      </c>
      <c r="H187">
        <v>11.0625</v>
      </c>
    </row>
    <row r="188" spans="1:8" hidden="1" x14ac:dyDescent="0.25">
      <c r="A188" t="s">
        <v>228</v>
      </c>
      <c r="B188" t="s">
        <v>7</v>
      </c>
      <c r="C188" t="s">
        <v>192</v>
      </c>
      <c r="D188">
        <v>2021</v>
      </c>
      <c r="E188">
        <v>37</v>
      </c>
      <c r="F188">
        <v>195.82489546276051</v>
      </c>
      <c r="G188">
        <v>150</v>
      </c>
      <c r="H188">
        <v>9.375</v>
      </c>
    </row>
    <row r="189" spans="1:8" hidden="1" x14ac:dyDescent="0.25">
      <c r="A189" t="s">
        <v>229</v>
      </c>
      <c r="B189" t="s">
        <v>24</v>
      </c>
      <c r="C189" t="s">
        <v>192</v>
      </c>
      <c r="D189">
        <v>2021</v>
      </c>
      <c r="E189">
        <v>38</v>
      </c>
      <c r="F189">
        <v>192.7594517096999</v>
      </c>
      <c r="G189">
        <v>239</v>
      </c>
      <c r="H189">
        <v>14.9375</v>
      </c>
    </row>
    <row r="190" spans="1:8" hidden="1" x14ac:dyDescent="0.25">
      <c r="A190" t="s">
        <v>230</v>
      </c>
      <c r="B190" t="s">
        <v>45</v>
      </c>
      <c r="C190" t="s">
        <v>192</v>
      </c>
      <c r="D190">
        <v>2021</v>
      </c>
      <c r="E190">
        <v>39</v>
      </c>
      <c r="F190">
        <v>191.73965302501031</v>
      </c>
      <c r="G190">
        <v>228</v>
      </c>
      <c r="H190">
        <v>13.4117647058823</v>
      </c>
    </row>
    <row r="191" spans="1:8" hidden="1" x14ac:dyDescent="0.25">
      <c r="A191" t="s">
        <v>231</v>
      </c>
      <c r="B191" t="s">
        <v>43</v>
      </c>
      <c r="C191" t="s">
        <v>192</v>
      </c>
      <c r="D191">
        <v>2021</v>
      </c>
      <c r="E191">
        <v>40</v>
      </c>
      <c r="F191">
        <v>191.61641437982749</v>
      </c>
      <c r="G191">
        <v>162</v>
      </c>
      <c r="H191">
        <v>9.5294117647058805</v>
      </c>
    </row>
    <row r="192" spans="1:8" hidden="1" x14ac:dyDescent="0.25">
      <c r="A192" t="s">
        <v>232</v>
      </c>
      <c r="B192" t="s">
        <v>34</v>
      </c>
      <c r="C192" t="s">
        <v>192</v>
      </c>
      <c r="D192">
        <v>2021</v>
      </c>
      <c r="E192">
        <v>41</v>
      </c>
      <c r="F192">
        <v>191.52643955263079</v>
      </c>
      <c r="G192">
        <v>147</v>
      </c>
      <c r="H192">
        <v>9.1875</v>
      </c>
    </row>
    <row r="193" spans="1:8" hidden="1" x14ac:dyDescent="0.25">
      <c r="A193" t="s">
        <v>233</v>
      </c>
      <c r="B193" t="s">
        <v>66</v>
      </c>
      <c r="C193" t="s">
        <v>192</v>
      </c>
      <c r="D193">
        <v>2021</v>
      </c>
      <c r="E193">
        <v>42</v>
      </c>
      <c r="F193">
        <v>190.91346191666571</v>
      </c>
      <c r="G193">
        <v>145</v>
      </c>
      <c r="H193">
        <v>9.0625</v>
      </c>
    </row>
    <row r="194" spans="1:8" hidden="1" x14ac:dyDescent="0.25">
      <c r="A194" t="s">
        <v>234</v>
      </c>
      <c r="B194" t="s">
        <v>34</v>
      </c>
      <c r="C194" t="s">
        <v>192</v>
      </c>
      <c r="D194">
        <v>2021</v>
      </c>
      <c r="E194">
        <v>43</v>
      </c>
      <c r="F194">
        <v>189.9785034229285</v>
      </c>
      <c r="G194">
        <v>141</v>
      </c>
      <c r="H194">
        <v>8.2941176470588207</v>
      </c>
    </row>
    <row r="195" spans="1:8" hidden="1" x14ac:dyDescent="0.25">
      <c r="A195" t="s">
        <v>235</v>
      </c>
      <c r="B195" t="s">
        <v>14</v>
      </c>
      <c r="C195" t="s">
        <v>192</v>
      </c>
      <c r="D195">
        <v>2021</v>
      </c>
      <c r="E195">
        <v>44</v>
      </c>
      <c r="F195">
        <v>188.4409903504704</v>
      </c>
      <c r="G195">
        <v>134</v>
      </c>
      <c r="H195">
        <v>7.8823529411764701</v>
      </c>
    </row>
    <row r="196" spans="1:8" hidden="1" x14ac:dyDescent="0.25">
      <c r="A196" t="s">
        <v>236</v>
      </c>
      <c r="B196" t="s">
        <v>49</v>
      </c>
      <c r="C196" t="s">
        <v>192</v>
      </c>
      <c r="D196">
        <v>2021</v>
      </c>
      <c r="E196">
        <v>45</v>
      </c>
      <c r="F196">
        <v>187.23637437782199</v>
      </c>
      <c r="G196">
        <v>139</v>
      </c>
      <c r="H196">
        <v>9.9285714285714199</v>
      </c>
    </row>
    <row r="197" spans="1:8" hidden="1" x14ac:dyDescent="0.25">
      <c r="A197" t="s">
        <v>237</v>
      </c>
      <c r="B197" t="s">
        <v>28</v>
      </c>
      <c r="C197" t="s">
        <v>192</v>
      </c>
      <c r="D197">
        <v>2021</v>
      </c>
      <c r="E197">
        <v>46</v>
      </c>
      <c r="F197">
        <v>186.80386592398861</v>
      </c>
      <c r="G197">
        <v>252</v>
      </c>
      <c r="H197">
        <v>14.823529411764699</v>
      </c>
    </row>
    <row r="198" spans="1:8" hidden="1" x14ac:dyDescent="0.25">
      <c r="A198" t="s">
        <v>238</v>
      </c>
      <c r="B198" t="s">
        <v>14</v>
      </c>
      <c r="C198" t="s">
        <v>192</v>
      </c>
      <c r="D198">
        <v>2021</v>
      </c>
      <c r="E198">
        <v>47</v>
      </c>
      <c r="F198">
        <v>185.78974048485051</v>
      </c>
      <c r="G198">
        <v>121</v>
      </c>
      <c r="H198">
        <v>7.5625</v>
      </c>
    </row>
    <row r="199" spans="1:8" hidden="1" x14ac:dyDescent="0.25">
      <c r="A199" t="s">
        <v>239</v>
      </c>
      <c r="B199" t="s">
        <v>32</v>
      </c>
      <c r="C199" t="s">
        <v>192</v>
      </c>
      <c r="D199">
        <v>2021</v>
      </c>
      <c r="E199">
        <v>48</v>
      </c>
      <c r="F199">
        <v>185.78365676278321</v>
      </c>
      <c r="G199">
        <v>125</v>
      </c>
      <c r="H199">
        <v>9.6153846153846096</v>
      </c>
    </row>
    <row r="200" spans="1:8" hidden="1" x14ac:dyDescent="0.25">
      <c r="A200" t="s">
        <v>240</v>
      </c>
      <c r="B200" t="s">
        <v>10</v>
      </c>
      <c r="C200" t="s">
        <v>192</v>
      </c>
      <c r="D200">
        <v>2021</v>
      </c>
      <c r="E200">
        <v>49</v>
      </c>
      <c r="F200">
        <v>182.81537732956011</v>
      </c>
      <c r="G200">
        <v>136</v>
      </c>
      <c r="H200">
        <v>9.71428571428571</v>
      </c>
    </row>
    <row r="201" spans="1:8" hidden="1" x14ac:dyDescent="0.25">
      <c r="A201" t="s">
        <v>241</v>
      </c>
      <c r="B201" t="s">
        <v>82</v>
      </c>
      <c r="C201" t="s">
        <v>192</v>
      </c>
      <c r="D201">
        <v>2021</v>
      </c>
      <c r="E201">
        <v>50</v>
      </c>
      <c r="F201">
        <v>182.61611921087189</v>
      </c>
      <c r="G201">
        <v>171</v>
      </c>
      <c r="H201">
        <v>10.058823529411701</v>
      </c>
    </row>
    <row r="202" spans="1:8" hidden="1" x14ac:dyDescent="0.25">
      <c r="A202" t="s">
        <v>242</v>
      </c>
      <c r="G202">
        <v>10</v>
      </c>
      <c r="H202">
        <v>3.3333333333333299</v>
      </c>
    </row>
    <row r="203" spans="1:8" hidden="1" x14ac:dyDescent="0.25">
      <c r="A203" t="s">
        <v>243</v>
      </c>
      <c r="G203">
        <v>60</v>
      </c>
      <c r="H203">
        <v>4.2857142857142803</v>
      </c>
    </row>
    <row r="204" spans="1:8" hidden="1" x14ac:dyDescent="0.25">
      <c r="A204" t="s">
        <v>244</v>
      </c>
      <c r="G204">
        <v>6</v>
      </c>
      <c r="H204">
        <v>2</v>
      </c>
    </row>
    <row r="205" spans="1:8" hidden="1" x14ac:dyDescent="0.25">
      <c r="A205" t="s">
        <v>245</v>
      </c>
      <c r="G205">
        <v>3</v>
      </c>
      <c r="H205">
        <v>3</v>
      </c>
    </row>
    <row r="206" spans="1:8" hidden="1" x14ac:dyDescent="0.25">
      <c r="A206" t="s">
        <v>246</v>
      </c>
      <c r="G206">
        <v>15</v>
      </c>
      <c r="H206">
        <v>5</v>
      </c>
    </row>
    <row r="207" spans="1:8" hidden="1" x14ac:dyDescent="0.25">
      <c r="A207" t="s">
        <v>247</v>
      </c>
      <c r="G207">
        <v>70</v>
      </c>
      <c r="H207">
        <v>10</v>
      </c>
    </row>
    <row r="208" spans="1:8" hidden="1" x14ac:dyDescent="0.25">
      <c r="A208" t="s">
        <v>248</v>
      </c>
      <c r="G208">
        <v>65</v>
      </c>
      <c r="H208">
        <v>5</v>
      </c>
    </row>
    <row r="209" spans="1:8" hidden="1" x14ac:dyDescent="0.25">
      <c r="A209" t="s">
        <v>249</v>
      </c>
      <c r="G209">
        <v>74</v>
      </c>
      <c r="H209">
        <v>8.2222222222222197</v>
      </c>
    </row>
    <row r="210" spans="1:8" hidden="1" x14ac:dyDescent="0.25">
      <c r="A210" t="s">
        <v>250</v>
      </c>
      <c r="G210">
        <v>1</v>
      </c>
      <c r="H210">
        <v>0.33333333333333298</v>
      </c>
    </row>
    <row r="211" spans="1:8" hidden="1" x14ac:dyDescent="0.25">
      <c r="A211" t="s">
        <v>251</v>
      </c>
      <c r="G211">
        <v>0</v>
      </c>
      <c r="H211">
        <v>0</v>
      </c>
    </row>
    <row r="212" spans="1:8" hidden="1" x14ac:dyDescent="0.25">
      <c r="A212" t="s">
        <v>252</v>
      </c>
      <c r="G212">
        <v>24</v>
      </c>
      <c r="H212">
        <v>4.8</v>
      </c>
    </row>
    <row r="213" spans="1:8" hidden="1" x14ac:dyDescent="0.25">
      <c r="A213" t="s">
        <v>253</v>
      </c>
      <c r="G213">
        <v>1</v>
      </c>
      <c r="H213">
        <v>0.5</v>
      </c>
    </row>
    <row r="214" spans="1:8" hidden="1" x14ac:dyDescent="0.25">
      <c r="A214" t="s">
        <v>254</v>
      </c>
      <c r="G214">
        <v>5</v>
      </c>
      <c r="H214">
        <v>1.6666666666666601</v>
      </c>
    </row>
    <row r="215" spans="1:8" hidden="1" x14ac:dyDescent="0.25">
      <c r="A215" t="s">
        <v>255</v>
      </c>
      <c r="G215">
        <v>2</v>
      </c>
      <c r="H215">
        <v>2</v>
      </c>
    </row>
    <row r="216" spans="1:8" hidden="1" x14ac:dyDescent="0.25">
      <c r="A216" t="s">
        <v>256</v>
      </c>
      <c r="G216">
        <v>54</v>
      </c>
      <c r="H216">
        <v>7.71428571428571</v>
      </c>
    </row>
    <row r="217" spans="1:8" hidden="1" x14ac:dyDescent="0.25">
      <c r="A217" t="s">
        <v>257</v>
      </c>
      <c r="G217">
        <v>1</v>
      </c>
      <c r="H217">
        <v>0.5</v>
      </c>
    </row>
    <row r="218" spans="1:8" hidden="1" x14ac:dyDescent="0.25">
      <c r="A218" t="s">
        <v>258</v>
      </c>
      <c r="G218">
        <v>1</v>
      </c>
      <c r="H218">
        <v>1</v>
      </c>
    </row>
    <row r="219" spans="1:8" hidden="1" x14ac:dyDescent="0.25">
      <c r="A219" t="s">
        <v>259</v>
      </c>
      <c r="G219">
        <v>3</v>
      </c>
      <c r="H219">
        <v>1.5</v>
      </c>
    </row>
    <row r="220" spans="1:8" hidden="1" x14ac:dyDescent="0.25">
      <c r="A220" t="s">
        <v>260</v>
      </c>
      <c r="G220">
        <v>24</v>
      </c>
      <c r="H220">
        <v>3.4285714285714199</v>
      </c>
    </row>
    <row r="221" spans="1:8" hidden="1" x14ac:dyDescent="0.25">
      <c r="A221" t="s">
        <v>261</v>
      </c>
      <c r="G221">
        <v>6</v>
      </c>
      <c r="H221">
        <v>3</v>
      </c>
    </row>
    <row r="222" spans="1:8" hidden="1" x14ac:dyDescent="0.25">
      <c r="A222" t="s">
        <v>262</v>
      </c>
      <c r="G222">
        <v>6</v>
      </c>
      <c r="H222">
        <v>1</v>
      </c>
    </row>
    <row r="223" spans="1:8" hidden="1" x14ac:dyDescent="0.25">
      <c r="A223" t="s">
        <v>263</v>
      </c>
      <c r="G223">
        <v>100</v>
      </c>
      <c r="H223">
        <v>7.1428571428571397</v>
      </c>
    </row>
    <row r="224" spans="1:8" hidden="1" x14ac:dyDescent="0.25">
      <c r="A224" t="s">
        <v>264</v>
      </c>
      <c r="G224">
        <v>7</v>
      </c>
      <c r="H224">
        <v>1.75</v>
      </c>
    </row>
    <row r="225" spans="1:8" hidden="1" x14ac:dyDescent="0.25">
      <c r="A225" t="s">
        <v>265</v>
      </c>
      <c r="G225">
        <v>4</v>
      </c>
      <c r="H225">
        <v>2</v>
      </c>
    </row>
    <row r="226" spans="1:8" hidden="1" x14ac:dyDescent="0.25">
      <c r="A226" t="s">
        <v>266</v>
      </c>
      <c r="G226">
        <v>19</v>
      </c>
      <c r="H226">
        <v>2.375</v>
      </c>
    </row>
    <row r="227" spans="1:8" hidden="1" x14ac:dyDescent="0.25">
      <c r="A227" t="s">
        <v>267</v>
      </c>
      <c r="G227">
        <v>23</v>
      </c>
      <c r="H227">
        <v>3.8333333333333299</v>
      </c>
    </row>
    <row r="228" spans="1:8" hidden="1" x14ac:dyDescent="0.25">
      <c r="A228" t="s">
        <v>268</v>
      </c>
      <c r="G228">
        <v>12</v>
      </c>
      <c r="H228">
        <v>4</v>
      </c>
    </row>
    <row r="229" spans="1:8" hidden="1" x14ac:dyDescent="0.25">
      <c r="A229" t="s">
        <v>269</v>
      </c>
      <c r="G229">
        <v>0</v>
      </c>
      <c r="H229">
        <v>0</v>
      </c>
    </row>
    <row r="230" spans="1:8" hidden="1" x14ac:dyDescent="0.25">
      <c r="A230" t="s">
        <v>270</v>
      </c>
      <c r="G230">
        <v>2</v>
      </c>
      <c r="H230">
        <v>0.5</v>
      </c>
    </row>
    <row r="231" spans="1:8" hidden="1" x14ac:dyDescent="0.25">
      <c r="A231" t="s">
        <v>271</v>
      </c>
      <c r="G231">
        <v>2</v>
      </c>
      <c r="H231">
        <v>1</v>
      </c>
    </row>
    <row r="232" spans="1:8" hidden="1" x14ac:dyDescent="0.25">
      <c r="A232" t="s">
        <v>272</v>
      </c>
      <c r="G232">
        <v>41</v>
      </c>
      <c r="H232">
        <v>3.72727272727272</v>
      </c>
    </row>
    <row r="233" spans="1:8" hidden="1" x14ac:dyDescent="0.25">
      <c r="A233" t="s">
        <v>273</v>
      </c>
      <c r="G233">
        <v>83</v>
      </c>
      <c r="H233">
        <v>9.2222222222222197</v>
      </c>
    </row>
    <row r="234" spans="1:8" hidden="1" x14ac:dyDescent="0.25">
      <c r="A234" t="s">
        <v>274</v>
      </c>
      <c r="G234">
        <v>15</v>
      </c>
      <c r="H234">
        <v>3.75</v>
      </c>
    </row>
    <row r="235" spans="1:8" hidden="1" x14ac:dyDescent="0.25">
      <c r="A235" t="s">
        <v>275</v>
      </c>
      <c r="G235">
        <v>91</v>
      </c>
      <c r="H235">
        <v>9.1</v>
      </c>
    </row>
    <row r="236" spans="1:8" hidden="1" x14ac:dyDescent="0.25">
      <c r="A236" t="s">
        <v>276</v>
      </c>
      <c r="G236">
        <v>6</v>
      </c>
      <c r="H236">
        <v>2</v>
      </c>
    </row>
    <row r="237" spans="1:8" hidden="1" x14ac:dyDescent="0.25">
      <c r="A237" t="s">
        <v>277</v>
      </c>
      <c r="G237">
        <v>73</v>
      </c>
      <c r="H237">
        <v>4.2941176470588198</v>
      </c>
    </row>
    <row r="238" spans="1:8" hidden="1" x14ac:dyDescent="0.25">
      <c r="A238" t="s">
        <v>278</v>
      </c>
      <c r="G238">
        <v>44</v>
      </c>
      <c r="H238">
        <v>5.5</v>
      </c>
    </row>
    <row r="239" spans="1:8" hidden="1" x14ac:dyDescent="0.25">
      <c r="A239" t="s">
        <v>279</v>
      </c>
      <c r="G239">
        <v>7</v>
      </c>
      <c r="H239">
        <v>1.75</v>
      </c>
    </row>
    <row r="240" spans="1:8" hidden="1" x14ac:dyDescent="0.25">
      <c r="A240" t="s">
        <v>280</v>
      </c>
      <c r="G240">
        <v>14</v>
      </c>
      <c r="H240">
        <v>1.75</v>
      </c>
    </row>
    <row r="241" spans="1:8" hidden="1" x14ac:dyDescent="0.25">
      <c r="A241" t="s">
        <v>281</v>
      </c>
      <c r="G241">
        <v>74</v>
      </c>
      <c r="H241">
        <v>5.2857142857142803</v>
      </c>
    </row>
    <row r="242" spans="1:8" hidden="1" x14ac:dyDescent="0.25">
      <c r="A242" t="s">
        <v>282</v>
      </c>
      <c r="G242">
        <v>26</v>
      </c>
      <c r="H242">
        <v>3.25</v>
      </c>
    </row>
    <row r="243" spans="1:8" hidden="1" x14ac:dyDescent="0.25">
      <c r="A243" t="s">
        <v>283</v>
      </c>
      <c r="G243">
        <v>7</v>
      </c>
      <c r="H243">
        <v>7</v>
      </c>
    </row>
    <row r="244" spans="1:8" hidden="1" x14ac:dyDescent="0.25">
      <c r="A244" t="s">
        <v>284</v>
      </c>
      <c r="G244">
        <v>49</v>
      </c>
      <c r="H244">
        <v>3.5</v>
      </c>
    </row>
    <row r="245" spans="1:8" hidden="1" x14ac:dyDescent="0.25">
      <c r="A245" t="s">
        <v>285</v>
      </c>
      <c r="G245">
        <v>45</v>
      </c>
      <c r="H245">
        <v>4.0909090909090899</v>
      </c>
    </row>
    <row r="246" spans="1:8" hidden="1" x14ac:dyDescent="0.25">
      <c r="A246" t="s">
        <v>286</v>
      </c>
      <c r="G246">
        <v>16</v>
      </c>
      <c r="H246">
        <v>3.2</v>
      </c>
    </row>
    <row r="247" spans="1:8" hidden="1" x14ac:dyDescent="0.25">
      <c r="A247" t="s">
        <v>287</v>
      </c>
      <c r="G247">
        <v>0</v>
      </c>
      <c r="H247">
        <v>0</v>
      </c>
    </row>
    <row r="248" spans="1:8" hidden="1" x14ac:dyDescent="0.25">
      <c r="A248" t="s">
        <v>288</v>
      </c>
      <c r="G248">
        <v>8</v>
      </c>
      <c r="H248">
        <v>4</v>
      </c>
    </row>
    <row r="249" spans="1:8" hidden="1" x14ac:dyDescent="0.25">
      <c r="A249" t="s">
        <v>289</v>
      </c>
      <c r="G249">
        <v>4</v>
      </c>
      <c r="H249">
        <v>1</v>
      </c>
    </row>
    <row r="250" spans="1:8" hidden="1" x14ac:dyDescent="0.25">
      <c r="A250" t="s">
        <v>290</v>
      </c>
      <c r="G250">
        <v>13</v>
      </c>
      <c r="H250">
        <v>4.3333333333333304</v>
      </c>
    </row>
    <row r="251" spans="1:8" hidden="1" x14ac:dyDescent="0.25">
      <c r="A251" t="s">
        <v>291</v>
      </c>
      <c r="G251">
        <v>107</v>
      </c>
      <c r="H251">
        <v>8.2307692307692299</v>
      </c>
    </row>
    <row r="252" spans="1:8" hidden="1" x14ac:dyDescent="0.25">
      <c r="A252" t="s">
        <v>292</v>
      </c>
      <c r="G252">
        <v>2</v>
      </c>
      <c r="H252">
        <v>0.66666666666666596</v>
      </c>
    </row>
    <row r="253" spans="1:8" hidden="1" x14ac:dyDescent="0.25">
      <c r="A253" t="s">
        <v>293</v>
      </c>
      <c r="G253">
        <v>1</v>
      </c>
      <c r="H253">
        <v>1</v>
      </c>
    </row>
    <row r="254" spans="1:8" hidden="1" x14ac:dyDescent="0.25">
      <c r="A254" t="s">
        <v>294</v>
      </c>
      <c r="G254">
        <v>2</v>
      </c>
      <c r="H254">
        <v>2</v>
      </c>
    </row>
    <row r="255" spans="1:8" hidden="1" x14ac:dyDescent="0.25">
      <c r="A255" t="s">
        <v>295</v>
      </c>
      <c r="G255">
        <v>7</v>
      </c>
      <c r="H255">
        <v>3.5</v>
      </c>
    </row>
    <row r="256" spans="1:8" hidden="1" x14ac:dyDescent="0.25">
      <c r="A256" t="s">
        <v>296</v>
      </c>
      <c r="G256">
        <v>1</v>
      </c>
      <c r="H256">
        <v>1</v>
      </c>
    </row>
    <row r="257" spans="1:8" hidden="1" x14ac:dyDescent="0.25">
      <c r="A257" t="s">
        <v>297</v>
      </c>
      <c r="G257">
        <v>49</v>
      </c>
      <c r="H257">
        <v>5.4444444444444402</v>
      </c>
    </row>
    <row r="258" spans="1:8" hidden="1" x14ac:dyDescent="0.25">
      <c r="A258" t="s">
        <v>298</v>
      </c>
      <c r="G258">
        <v>17</v>
      </c>
      <c r="H258">
        <v>4.25</v>
      </c>
    </row>
    <row r="259" spans="1:8" hidden="1" x14ac:dyDescent="0.25">
      <c r="A259" t="s">
        <v>299</v>
      </c>
      <c r="G259">
        <v>4</v>
      </c>
      <c r="H259">
        <v>4</v>
      </c>
    </row>
    <row r="260" spans="1:8" hidden="1" x14ac:dyDescent="0.25">
      <c r="A260" t="s">
        <v>300</v>
      </c>
      <c r="G260">
        <v>46</v>
      </c>
      <c r="H260">
        <v>6.5714285714285703</v>
      </c>
    </row>
    <row r="261" spans="1:8" hidden="1" x14ac:dyDescent="0.25">
      <c r="A261" t="s">
        <v>301</v>
      </c>
      <c r="G261">
        <v>18</v>
      </c>
      <c r="H261">
        <v>1.8</v>
      </c>
    </row>
    <row r="262" spans="1:8" hidden="1" x14ac:dyDescent="0.25">
      <c r="A262" t="s">
        <v>302</v>
      </c>
      <c r="G262">
        <v>84</v>
      </c>
      <c r="H262">
        <v>8.4</v>
      </c>
    </row>
    <row r="263" spans="1:8" hidden="1" x14ac:dyDescent="0.25">
      <c r="A263" t="s">
        <v>303</v>
      </c>
      <c r="G263">
        <v>26</v>
      </c>
      <c r="H263">
        <v>2.6</v>
      </c>
    </row>
    <row r="264" spans="1:8" hidden="1" x14ac:dyDescent="0.25">
      <c r="A264" t="s">
        <v>304</v>
      </c>
      <c r="G264">
        <v>20</v>
      </c>
      <c r="H264">
        <v>3.3333333333333299</v>
      </c>
    </row>
    <row r="265" spans="1:8" hidden="1" x14ac:dyDescent="0.25">
      <c r="A265" t="s">
        <v>305</v>
      </c>
      <c r="G265">
        <v>43</v>
      </c>
      <c r="H265">
        <v>4.7777777777777697</v>
      </c>
    </row>
    <row r="266" spans="1:8" hidden="1" x14ac:dyDescent="0.25">
      <c r="A266" t="s">
        <v>306</v>
      </c>
      <c r="G266">
        <v>2</v>
      </c>
      <c r="H266">
        <v>1</v>
      </c>
    </row>
    <row r="267" spans="1:8" hidden="1" x14ac:dyDescent="0.25">
      <c r="A267" t="s">
        <v>307</v>
      </c>
      <c r="G267">
        <v>100</v>
      </c>
      <c r="H267">
        <v>11.1111111111111</v>
      </c>
    </row>
    <row r="268" spans="1:8" hidden="1" x14ac:dyDescent="0.25">
      <c r="A268" t="s">
        <v>308</v>
      </c>
      <c r="G268">
        <v>54</v>
      </c>
      <c r="H268">
        <v>10.8</v>
      </c>
    </row>
    <row r="269" spans="1:8" hidden="1" x14ac:dyDescent="0.25">
      <c r="A269" t="s">
        <v>309</v>
      </c>
      <c r="G269">
        <v>1</v>
      </c>
      <c r="H269">
        <v>1</v>
      </c>
    </row>
    <row r="270" spans="1:8" hidden="1" x14ac:dyDescent="0.25">
      <c r="A270" t="s">
        <v>310</v>
      </c>
      <c r="G270">
        <v>39</v>
      </c>
      <c r="H270">
        <v>5.5714285714285703</v>
      </c>
    </row>
    <row r="271" spans="1:8" hidden="1" x14ac:dyDescent="0.25">
      <c r="A271" t="s">
        <v>311</v>
      </c>
      <c r="G271">
        <v>240</v>
      </c>
      <c r="H271">
        <v>15</v>
      </c>
    </row>
    <row r="272" spans="1:8" hidden="1" x14ac:dyDescent="0.25">
      <c r="A272" t="s">
        <v>312</v>
      </c>
      <c r="G272">
        <v>2</v>
      </c>
      <c r="H272">
        <v>2</v>
      </c>
    </row>
    <row r="273" spans="1:8" hidden="1" x14ac:dyDescent="0.25">
      <c r="A273" t="s">
        <v>313</v>
      </c>
      <c r="G273">
        <v>59</v>
      </c>
      <c r="H273">
        <v>8.4285714285714199</v>
      </c>
    </row>
    <row r="274" spans="1:8" hidden="1" x14ac:dyDescent="0.25">
      <c r="A274" t="s">
        <v>314</v>
      </c>
      <c r="G274">
        <v>20</v>
      </c>
      <c r="H274">
        <v>3.3333333333333299</v>
      </c>
    </row>
    <row r="275" spans="1:8" hidden="1" x14ac:dyDescent="0.25">
      <c r="A275" t="s">
        <v>315</v>
      </c>
      <c r="G275">
        <v>4</v>
      </c>
      <c r="H275">
        <v>1.3333333333333299</v>
      </c>
    </row>
    <row r="276" spans="1:8" hidden="1" x14ac:dyDescent="0.25">
      <c r="A276" t="s">
        <v>316</v>
      </c>
      <c r="G276">
        <v>12</v>
      </c>
      <c r="H276">
        <v>3</v>
      </c>
    </row>
    <row r="277" spans="1:8" hidden="1" x14ac:dyDescent="0.25">
      <c r="A277" t="s">
        <v>317</v>
      </c>
      <c r="G277">
        <v>29</v>
      </c>
      <c r="H277">
        <v>2.63636363636363</v>
      </c>
    </row>
    <row r="278" spans="1:8" hidden="1" x14ac:dyDescent="0.25">
      <c r="A278" t="s">
        <v>318</v>
      </c>
      <c r="G278">
        <v>1</v>
      </c>
      <c r="H278">
        <v>1</v>
      </c>
    </row>
    <row r="279" spans="1:8" hidden="1" x14ac:dyDescent="0.25">
      <c r="A279" t="s">
        <v>319</v>
      </c>
      <c r="G279">
        <v>8</v>
      </c>
      <c r="H279">
        <v>4</v>
      </c>
    </row>
    <row r="280" spans="1:8" hidden="1" x14ac:dyDescent="0.25">
      <c r="A280" t="s">
        <v>320</v>
      </c>
      <c r="G280">
        <v>27</v>
      </c>
      <c r="H280">
        <v>1.8</v>
      </c>
    </row>
    <row r="281" spans="1:8" hidden="1" x14ac:dyDescent="0.25">
      <c r="A281" t="s">
        <v>321</v>
      </c>
      <c r="G281">
        <v>12</v>
      </c>
      <c r="H281">
        <v>3</v>
      </c>
    </row>
    <row r="282" spans="1:8" hidden="1" x14ac:dyDescent="0.25">
      <c r="A282" t="s">
        <v>322</v>
      </c>
      <c r="G282">
        <v>14</v>
      </c>
      <c r="H282">
        <v>2</v>
      </c>
    </row>
    <row r="283" spans="1:8" hidden="1" x14ac:dyDescent="0.25">
      <c r="A283" t="s">
        <v>323</v>
      </c>
      <c r="G283">
        <v>27</v>
      </c>
      <c r="H283">
        <v>9</v>
      </c>
    </row>
    <row r="284" spans="1:8" hidden="1" x14ac:dyDescent="0.25">
      <c r="A284" t="s">
        <v>324</v>
      </c>
      <c r="G284">
        <v>152</v>
      </c>
      <c r="H284">
        <v>9.5</v>
      </c>
    </row>
    <row r="285" spans="1:8" hidden="1" x14ac:dyDescent="0.25">
      <c r="A285" t="s">
        <v>325</v>
      </c>
      <c r="G285">
        <v>0</v>
      </c>
      <c r="H285">
        <v>0</v>
      </c>
    </row>
    <row r="286" spans="1:8" hidden="1" x14ac:dyDescent="0.25">
      <c r="A286" t="s">
        <v>326</v>
      </c>
      <c r="G286">
        <v>7</v>
      </c>
      <c r="H286">
        <v>1.1666666666666601</v>
      </c>
    </row>
    <row r="287" spans="1:8" hidden="1" x14ac:dyDescent="0.25">
      <c r="A287" t="s">
        <v>327</v>
      </c>
      <c r="G287">
        <v>2</v>
      </c>
      <c r="H287">
        <v>1</v>
      </c>
    </row>
    <row r="288" spans="1:8" hidden="1" x14ac:dyDescent="0.25">
      <c r="A288" t="s">
        <v>328</v>
      </c>
      <c r="G288">
        <v>0</v>
      </c>
      <c r="H288">
        <v>0</v>
      </c>
    </row>
    <row r="289" spans="1:8" hidden="1" x14ac:dyDescent="0.25">
      <c r="A289" t="s">
        <v>329</v>
      </c>
      <c r="G289">
        <v>0</v>
      </c>
      <c r="H289">
        <v>0</v>
      </c>
    </row>
    <row r="290" spans="1:8" hidden="1" x14ac:dyDescent="0.25">
      <c r="A290" t="s">
        <v>330</v>
      </c>
      <c r="G290">
        <v>-1</v>
      </c>
      <c r="H290">
        <v>-0.33333333333333298</v>
      </c>
    </row>
    <row r="291" spans="1:8" hidden="1" x14ac:dyDescent="0.25">
      <c r="A291" t="s">
        <v>331</v>
      </c>
      <c r="G291">
        <v>16</v>
      </c>
      <c r="H291">
        <v>2.6666666666666599</v>
      </c>
    </row>
    <row r="292" spans="1:8" hidden="1" x14ac:dyDescent="0.25">
      <c r="A292" t="s">
        <v>332</v>
      </c>
      <c r="G292">
        <v>194</v>
      </c>
      <c r="H292">
        <v>11.4117647058823</v>
      </c>
    </row>
    <row r="293" spans="1:8" hidden="1" x14ac:dyDescent="0.25">
      <c r="A293" t="s">
        <v>333</v>
      </c>
      <c r="G293">
        <v>80</v>
      </c>
      <c r="H293">
        <v>8.8888888888888893</v>
      </c>
    </row>
    <row r="294" spans="1:8" hidden="1" x14ac:dyDescent="0.25">
      <c r="A294" t="s">
        <v>334</v>
      </c>
      <c r="G294">
        <v>11</v>
      </c>
      <c r="H294">
        <v>3.6666666666666599</v>
      </c>
    </row>
    <row r="295" spans="1:8" hidden="1" x14ac:dyDescent="0.25">
      <c r="A295" t="s">
        <v>335</v>
      </c>
      <c r="G295">
        <v>35</v>
      </c>
      <c r="H295">
        <v>4.375</v>
      </c>
    </row>
    <row r="296" spans="1:8" hidden="1" x14ac:dyDescent="0.25">
      <c r="A296" t="s">
        <v>336</v>
      </c>
      <c r="G296">
        <v>6</v>
      </c>
      <c r="H296">
        <v>3</v>
      </c>
    </row>
    <row r="297" spans="1:8" hidden="1" x14ac:dyDescent="0.25">
      <c r="A297" t="s">
        <v>337</v>
      </c>
      <c r="G297">
        <v>4</v>
      </c>
      <c r="H297">
        <v>4</v>
      </c>
    </row>
    <row r="298" spans="1:8" hidden="1" x14ac:dyDescent="0.25">
      <c r="A298" t="s">
        <v>338</v>
      </c>
      <c r="G298">
        <v>22</v>
      </c>
      <c r="H298">
        <v>4.4000000000000004</v>
      </c>
    </row>
    <row r="299" spans="1:8" hidden="1" x14ac:dyDescent="0.25">
      <c r="A299" t="s">
        <v>339</v>
      </c>
      <c r="G299">
        <v>104</v>
      </c>
      <c r="H299">
        <v>7.4285714285714199</v>
      </c>
    </row>
    <row r="300" spans="1:8" hidden="1" x14ac:dyDescent="0.25">
      <c r="A300" t="s">
        <v>340</v>
      </c>
      <c r="G300">
        <v>1</v>
      </c>
      <c r="H300">
        <v>1</v>
      </c>
    </row>
    <row r="301" spans="1:8" hidden="1" x14ac:dyDescent="0.25">
      <c r="A301" t="s">
        <v>341</v>
      </c>
      <c r="G301">
        <v>3</v>
      </c>
      <c r="H301">
        <v>3</v>
      </c>
    </row>
    <row r="302" spans="1:8" hidden="1" x14ac:dyDescent="0.25">
      <c r="A302" t="s">
        <v>342</v>
      </c>
      <c r="G302">
        <v>80</v>
      </c>
      <c r="H302">
        <v>11.4285714285714</v>
      </c>
    </row>
    <row r="303" spans="1:8" hidden="1" x14ac:dyDescent="0.25">
      <c r="A303" t="s">
        <v>343</v>
      </c>
      <c r="G303">
        <v>17</v>
      </c>
      <c r="H303">
        <v>2.125</v>
      </c>
    </row>
    <row r="304" spans="1:8" hidden="1" x14ac:dyDescent="0.25">
      <c r="A304" t="s">
        <v>344</v>
      </c>
      <c r="G304">
        <v>0</v>
      </c>
      <c r="H304">
        <v>0</v>
      </c>
    </row>
    <row r="305" spans="1:8" hidden="1" x14ac:dyDescent="0.25">
      <c r="A305" t="s">
        <v>345</v>
      </c>
      <c r="G305">
        <v>46</v>
      </c>
      <c r="H305">
        <v>5.1111111111111098</v>
      </c>
    </row>
    <row r="306" spans="1:8" hidden="1" x14ac:dyDescent="0.25">
      <c r="A306" t="s">
        <v>346</v>
      </c>
      <c r="G306">
        <v>2</v>
      </c>
      <c r="H306">
        <v>2</v>
      </c>
    </row>
    <row r="307" spans="1:8" hidden="1" x14ac:dyDescent="0.25">
      <c r="A307" t="s">
        <v>347</v>
      </c>
      <c r="G307">
        <v>101</v>
      </c>
      <c r="H307">
        <v>6.7333333333333298</v>
      </c>
    </row>
    <row r="308" spans="1:8" hidden="1" x14ac:dyDescent="0.25">
      <c r="A308" t="s">
        <v>348</v>
      </c>
      <c r="G308">
        <v>0</v>
      </c>
      <c r="H308">
        <v>0</v>
      </c>
    </row>
    <row r="309" spans="1:8" hidden="1" x14ac:dyDescent="0.25">
      <c r="A309" t="s">
        <v>349</v>
      </c>
      <c r="G309">
        <v>7</v>
      </c>
      <c r="H309">
        <v>1.75</v>
      </c>
    </row>
    <row r="310" spans="1:8" hidden="1" x14ac:dyDescent="0.25">
      <c r="A310" t="s">
        <v>350</v>
      </c>
      <c r="G310">
        <v>10</v>
      </c>
      <c r="H310">
        <v>5</v>
      </c>
    </row>
    <row r="311" spans="1:8" hidden="1" x14ac:dyDescent="0.25">
      <c r="A311" t="s">
        <v>351</v>
      </c>
      <c r="G311">
        <v>20</v>
      </c>
      <c r="H311">
        <v>4</v>
      </c>
    </row>
    <row r="312" spans="1:8" hidden="1" x14ac:dyDescent="0.25">
      <c r="A312" t="s">
        <v>352</v>
      </c>
      <c r="G312">
        <v>23</v>
      </c>
      <c r="H312">
        <v>11.5</v>
      </c>
    </row>
    <row r="313" spans="1:8" hidden="1" x14ac:dyDescent="0.25">
      <c r="A313" t="s">
        <v>353</v>
      </c>
      <c r="G313">
        <v>66</v>
      </c>
      <c r="H313">
        <v>6.6</v>
      </c>
    </row>
    <row r="314" spans="1:8" hidden="1" x14ac:dyDescent="0.25">
      <c r="A314" t="s">
        <v>354</v>
      </c>
      <c r="G314">
        <v>3</v>
      </c>
      <c r="H314">
        <v>1.5</v>
      </c>
    </row>
    <row r="315" spans="1:8" hidden="1" x14ac:dyDescent="0.25">
      <c r="A315" t="s">
        <v>355</v>
      </c>
      <c r="G315">
        <v>31</v>
      </c>
      <c r="H315">
        <v>3.4444444444444402</v>
      </c>
    </row>
    <row r="316" spans="1:8" hidden="1" x14ac:dyDescent="0.25">
      <c r="A316" t="s">
        <v>356</v>
      </c>
      <c r="G316">
        <v>1</v>
      </c>
      <c r="H316">
        <v>0.5</v>
      </c>
    </row>
    <row r="317" spans="1:8" hidden="1" x14ac:dyDescent="0.25">
      <c r="A317" t="s">
        <v>357</v>
      </c>
      <c r="G317">
        <v>13</v>
      </c>
      <c r="H317">
        <v>4.3333333333333304</v>
      </c>
    </row>
    <row r="318" spans="1:8" hidden="1" x14ac:dyDescent="0.25">
      <c r="A318" t="s">
        <v>358</v>
      </c>
      <c r="G318">
        <v>37</v>
      </c>
      <c r="H318">
        <v>5.2857142857142803</v>
      </c>
    </row>
    <row r="319" spans="1:8" hidden="1" x14ac:dyDescent="0.25">
      <c r="A319" t="s">
        <v>359</v>
      </c>
      <c r="G319">
        <v>76</v>
      </c>
      <c r="H319">
        <v>8.4444444444444393</v>
      </c>
    </row>
    <row r="320" spans="1:8" hidden="1" x14ac:dyDescent="0.25">
      <c r="A320" t="s">
        <v>360</v>
      </c>
      <c r="G320">
        <v>5</v>
      </c>
      <c r="H320">
        <v>2.5</v>
      </c>
    </row>
    <row r="321" spans="1:8" hidden="1" x14ac:dyDescent="0.25">
      <c r="A321" t="s">
        <v>361</v>
      </c>
      <c r="G321">
        <v>84</v>
      </c>
      <c r="H321">
        <v>7</v>
      </c>
    </row>
    <row r="322" spans="1:8" hidden="1" x14ac:dyDescent="0.25">
      <c r="A322" t="s">
        <v>362</v>
      </c>
      <c r="G322">
        <v>52</v>
      </c>
      <c r="H322">
        <v>4</v>
      </c>
    </row>
    <row r="323" spans="1:8" hidden="1" x14ac:dyDescent="0.25">
      <c r="A323" t="s">
        <v>363</v>
      </c>
      <c r="G323">
        <v>6</v>
      </c>
      <c r="H323">
        <v>2</v>
      </c>
    </row>
    <row r="324" spans="1:8" hidden="1" x14ac:dyDescent="0.25">
      <c r="A324" t="s">
        <v>364</v>
      </c>
      <c r="G324">
        <v>75</v>
      </c>
      <c r="H324">
        <v>10.714285714285699</v>
      </c>
    </row>
    <row r="325" spans="1:8" hidden="1" x14ac:dyDescent="0.25">
      <c r="A325" t="s">
        <v>365</v>
      </c>
      <c r="G325">
        <v>62</v>
      </c>
      <c r="H325">
        <v>5.6363636363636296</v>
      </c>
    </row>
    <row r="326" spans="1:8" hidden="1" x14ac:dyDescent="0.25">
      <c r="A326" t="s">
        <v>366</v>
      </c>
      <c r="G326">
        <v>48</v>
      </c>
      <c r="H326">
        <v>12</v>
      </c>
    </row>
    <row r="327" spans="1:8" hidden="1" x14ac:dyDescent="0.25">
      <c r="A327" t="s">
        <v>367</v>
      </c>
      <c r="G327">
        <v>7</v>
      </c>
      <c r="H327">
        <v>1.75</v>
      </c>
    </row>
    <row r="328" spans="1:8" hidden="1" x14ac:dyDescent="0.25">
      <c r="A328" t="s">
        <v>368</v>
      </c>
      <c r="G328">
        <v>26</v>
      </c>
      <c r="H328">
        <v>4.3333333333333304</v>
      </c>
    </row>
    <row r="329" spans="1:8" hidden="1" x14ac:dyDescent="0.25">
      <c r="A329" t="s">
        <v>369</v>
      </c>
      <c r="G329">
        <v>53</v>
      </c>
      <c r="H329">
        <v>4.8181818181818103</v>
      </c>
    </row>
    <row r="330" spans="1:8" hidden="1" x14ac:dyDescent="0.25">
      <c r="A330" t="s">
        <v>370</v>
      </c>
      <c r="G330">
        <v>79</v>
      </c>
      <c r="H330">
        <v>5.6428571428571397</v>
      </c>
    </row>
    <row r="331" spans="1:8" hidden="1" x14ac:dyDescent="0.25">
      <c r="A331" t="s">
        <v>371</v>
      </c>
      <c r="G331">
        <v>10</v>
      </c>
      <c r="H331">
        <v>1.6666666666666601</v>
      </c>
    </row>
    <row r="332" spans="1:8" hidden="1" x14ac:dyDescent="0.25">
      <c r="A332" t="s">
        <v>372</v>
      </c>
      <c r="G332">
        <v>48</v>
      </c>
      <c r="H332">
        <v>4</v>
      </c>
    </row>
    <row r="333" spans="1:8" hidden="1" x14ac:dyDescent="0.25">
      <c r="A333" t="s">
        <v>373</v>
      </c>
      <c r="G333">
        <v>42</v>
      </c>
      <c r="H333">
        <v>3.5</v>
      </c>
    </row>
    <row r="334" spans="1:8" hidden="1" x14ac:dyDescent="0.25">
      <c r="A334" t="s">
        <v>374</v>
      </c>
      <c r="G334">
        <v>7</v>
      </c>
      <c r="H334">
        <v>2.3333333333333299</v>
      </c>
    </row>
    <row r="335" spans="1:8" hidden="1" x14ac:dyDescent="0.25">
      <c r="A335" t="s">
        <v>375</v>
      </c>
      <c r="G335">
        <v>45</v>
      </c>
      <c r="H335">
        <v>5</v>
      </c>
    </row>
    <row r="336" spans="1:8" hidden="1" x14ac:dyDescent="0.25">
      <c r="A336" t="s">
        <v>376</v>
      </c>
      <c r="G336">
        <v>3</v>
      </c>
      <c r="H336">
        <v>3</v>
      </c>
    </row>
    <row r="337" spans="1:8" hidden="1" x14ac:dyDescent="0.25">
      <c r="A337" t="s">
        <v>377</v>
      </c>
      <c r="G337">
        <v>127</v>
      </c>
      <c r="H337">
        <v>7.9375</v>
      </c>
    </row>
    <row r="338" spans="1:8" hidden="1" x14ac:dyDescent="0.25">
      <c r="A338" t="s">
        <v>378</v>
      </c>
      <c r="G338">
        <v>32</v>
      </c>
      <c r="H338">
        <v>2.9090909090908998</v>
      </c>
    </row>
    <row r="339" spans="1:8" hidden="1" x14ac:dyDescent="0.25">
      <c r="A339" t="s">
        <v>379</v>
      </c>
      <c r="G339">
        <v>4</v>
      </c>
      <c r="H339">
        <v>4</v>
      </c>
    </row>
    <row r="340" spans="1:8" hidden="1" x14ac:dyDescent="0.25">
      <c r="A340" t="s">
        <v>380</v>
      </c>
      <c r="G340">
        <v>3</v>
      </c>
      <c r="H340">
        <v>3</v>
      </c>
    </row>
    <row r="341" spans="1:8" hidden="1" x14ac:dyDescent="0.25">
      <c r="A341" t="s">
        <v>381</v>
      </c>
      <c r="G341">
        <v>9</v>
      </c>
      <c r="H341">
        <v>9</v>
      </c>
    </row>
    <row r="342" spans="1:8" hidden="1" x14ac:dyDescent="0.25">
      <c r="A342" t="s">
        <v>382</v>
      </c>
      <c r="G342">
        <v>16</v>
      </c>
      <c r="H342">
        <v>4</v>
      </c>
    </row>
    <row r="343" spans="1:8" hidden="1" x14ac:dyDescent="0.25">
      <c r="A343" t="s">
        <v>383</v>
      </c>
      <c r="G343">
        <v>28</v>
      </c>
      <c r="H343">
        <v>3.1111111111111098</v>
      </c>
    </row>
    <row r="344" spans="1:8" hidden="1" x14ac:dyDescent="0.25">
      <c r="A344" t="s">
        <v>384</v>
      </c>
      <c r="G344">
        <v>47</v>
      </c>
      <c r="H344">
        <v>3.6153846153846101</v>
      </c>
    </row>
    <row r="345" spans="1:8" hidden="1" x14ac:dyDescent="0.25">
      <c r="A345" t="s">
        <v>385</v>
      </c>
      <c r="G345">
        <v>82</v>
      </c>
      <c r="H345">
        <v>6.8333333333333304</v>
      </c>
    </row>
    <row r="346" spans="1:8" hidden="1" x14ac:dyDescent="0.25">
      <c r="A346" t="s">
        <v>386</v>
      </c>
      <c r="G346">
        <v>56</v>
      </c>
      <c r="H346">
        <v>6.2222222222222197</v>
      </c>
    </row>
    <row r="347" spans="1:8" hidden="1" x14ac:dyDescent="0.25">
      <c r="A347" t="s">
        <v>387</v>
      </c>
      <c r="G347">
        <v>62</v>
      </c>
      <c r="H347">
        <v>6.2</v>
      </c>
    </row>
    <row r="348" spans="1:8" hidden="1" x14ac:dyDescent="0.25">
      <c r="A348" t="s">
        <v>388</v>
      </c>
      <c r="G348">
        <v>4</v>
      </c>
      <c r="H348">
        <v>2</v>
      </c>
    </row>
    <row r="349" spans="1:8" hidden="1" x14ac:dyDescent="0.25">
      <c r="A349" t="s">
        <v>389</v>
      </c>
      <c r="G349">
        <v>135</v>
      </c>
      <c r="H349">
        <v>11.25</v>
      </c>
    </row>
    <row r="350" spans="1:8" hidden="1" x14ac:dyDescent="0.25">
      <c r="A350" t="s">
        <v>390</v>
      </c>
      <c r="G350">
        <v>72</v>
      </c>
      <c r="H350">
        <v>5.1428571428571397</v>
      </c>
    </row>
    <row r="351" spans="1:8" hidden="1" x14ac:dyDescent="0.25">
      <c r="A351" t="s">
        <v>391</v>
      </c>
      <c r="G351">
        <v>54</v>
      </c>
      <c r="H351">
        <v>4.9090909090909003</v>
      </c>
    </row>
    <row r="352" spans="1:8" hidden="1" x14ac:dyDescent="0.25">
      <c r="A352" t="s">
        <v>392</v>
      </c>
      <c r="G352">
        <v>1</v>
      </c>
      <c r="H352">
        <v>0.5</v>
      </c>
    </row>
    <row r="353" spans="1:8" hidden="1" x14ac:dyDescent="0.25">
      <c r="A353" t="s">
        <v>393</v>
      </c>
      <c r="G353">
        <v>30</v>
      </c>
      <c r="H353">
        <v>7.5</v>
      </c>
    </row>
    <row r="354" spans="1:8" hidden="1" x14ac:dyDescent="0.25">
      <c r="A354" t="s">
        <v>394</v>
      </c>
      <c r="G354">
        <v>26</v>
      </c>
      <c r="H354">
        <v>5.2</v>
      </c>
    </row>
    <row r="355" spans="1:8" hidden="1" x14ac:dyDescent="0.25">
      <c r="A355" t="s">
        <v>395</v>
      </c>
      <c r="G355">
        <v>6</v>
      </c>
      <c r="H355">
        <v>6</v>
      </c>
    </row>
    <row r="356" spans="1:8" hidden="1" x14ac:dyDescent="0.25">
      <c r="A356" t="s">
        <v>396</v>
      </c>
      <c r="G356">
        <v>8</v>
      </c>
      <c r="H356">
        <v>4</v>
      </c>
    </row>
    <row r="357" spans="1:8" hidden="1" x14ac:dyDescent="0.25">
      <c r="A357" t="s">
        <v>397</v>
      </c>
      <c r="G357">
        <v>6</v>
      </c>
      <c r="H357">
        <v>3</v>
      </c>
    </row>
    <row r="358" spans="1:8" hidden="1" x14ac:dyDescent="0.25">
      <c r="A358" t="s">
        <v>398</v>
      </c>
      <c r="G358">
        <v>43</v>
      </c>
      <c r="H358">
        <v>7.1666666666666599</v>
      </c>
    </row>
    <row r="359" spans="1:8" hidden="1" x14ac:dyDescent="0.25">
      <c r="A359" t="s">
        <v>399</v>
      </c>
      <c r="G359">
        <v>88</v>
      </c>
      <c r="H359">
        <v>9.7777777777777697</v>
      </c>
    </row>
    <row r="360" spans="1:8" hidden="1" x14ac:dyDescent="0.25">
      <c r="A360" t="s">
        <v>400</v>
      </c>
      <c r="G360">
        <v>30</v>
      </c>
      <c r="H360">
        <v>4.2857142857142803</v>
      </c>
    </row>
    <row r="361" spans="1:8" hidden="1" x14ac:dyDescent="0.25">
      <c r="A361" t="s">
        <v>401</v>
      </c>
      <c r="G361">
        <v>12</v>
      </c>
      <c r="H361">
        <v>4</v>
      </c>
    </row>
    <row r="362" spans="1:8" hidden="1" x14ac:dyDescent="0.25">
      <c r="A362" t="s">
        <v>402</v>
      </c>
      <c r="G362">
        <v>219</v>
      </c>
      <c r="H362">
        <v>13.6875</v>
      </c>
    </row>
    <row r="363" spans="1:8" hidden="1" x14ac:dyDescent="0.25">
      <c r="A363" t="s">
        <v>403</v>
      </c>
      <c r="G363">
        <v>34</v>
      </c>
      <c r="H363">
        <v>5.6666666666666599</v>
      </c>
    </row>
    <row r="364" spans="1:8" hidden="1" x14ac:dyDescent="0.25">
      <c r="A364" t="s">
        <v>404</v>
      </c>
      <c r="G364">
        <v>31</v>
      </c>
      <c r="H364">
        <v>6.2</v>
      </c>
    </row>
    <row r="365" spans="1:8" hidden="1" x14ac:dyDescent="0.25">
      <c r="A365" t="s">
        <v>405</v>
      </c>
      <c r="G365">
        <v>0</v>
      </c>
      <c r="H365">
        <v>0</v>
      </c>
    </row>
    <row r="366" spans="1:8" hidden="1" x14ac:dyDescent="0.25">
      <c r="A366" t="s">
        <v>406</v>
      </c>
      <c r="G366">
        <v>26</v>
      </c>
      <c r="H366">
        <v>3.71428571428571</v>
      </c>
    </row>
    <row r="367" spans="1:8" hidden="1" x14ac:dyDescent="0.25">
      <c r="A367" t="s">
        <v>407</v>
      </c>
      <c r="G367">
        <v>12</v>
      </c>
      <c r="H367">
        <v>2.4</v>
      </c>
    </row>
    <row r="368" spans="1:8" hidden="1" x14ac:dyDescent="0.25">
      <c r="A368" t="s">
        <v>408</v>
      </c>
      <c r="G368">
        <v>23</v>
      </c>
      <c r="H368">
        <v>5.75</v>
      </c>
    </row>
    <row r="369" spans="1:8" hidden="1" x14ac:dyDescent="0.25">
      <c r="A369" t="s">
        <v>409</v>
      </c>
      <c r="G369">
        <v>26</v>
      </c>
      <c r="H369">
        <v>3.25</v>
      </c>
    </row>
    <row r="370" spans="1:8" hidden="1" x14ac:dyDescent="0.25">
      <c r="A370" t="s">
        <v>410</v>
      </c>
      <c r="G370">
        <v>47</v>
      </c>
      <c r="H370">
        <v>9.4</v>
      </c>
    </row>
    <row r="371" spans="1:8" hidden="1" x14ac:dyDescent="0.25">
      <c r="A371" t="s">
        <v>411</v>
      </c>
      <c r="G371">
        <v>5</v>
      </c>
      <c r="H371">
        <v>2.5</v>
      </c>
    </row>
    <row r="372" spans="1:8" hidden="1" x14ac:dyDescent="0.25">
      <c r="A372" t="s">
        <v>412</v>
      </c>
      <c r="G372">
        <v>18</v>
      </c>
      <c r="H372">
        <v>4.5</v>
      </c>
    </row>
    <row r="373" spans="1:8" hidden="1" x14ac:dyDescent="0.25">
      <c r="A373" t="s">
        <v>413</v>
      </c>
      <c r="G373">
        <v>18</v>
      </c>
      <c r="H373">
        <v>3.6</v>
      </c>
    </row>
    <row r="374" spans="1:8" hidden="1" x14ac:dyDescent="0.25">
      <c r="A374" t="s">
        <v>414</v>
      </c>
      <c r="G374">
        <v>3</v>
      </c>
      <c r="H374">
        <v>3</v>
      </c>
    </row>
    <row r="375" spans="1:8" hidden="1" x14ac:dyDescent="0.25">
      <c r="A375" t="s">
        <v>415</v>
      </c>
      <c r="G375">
        <v>11</v>
      </c>
      <c r="H375">
        <v>2.75</v>
      </c>
    </row>
    <row r="376" spans="1:8" hidden="1" x14ac:dyDescent="0.25">
      <c r="A376" t="s">
        <v>416</v>
      </c>
      <c r="G376">
        <v>30</v>
      </c>
      <c r="H376">
        <v>5</v>
      </c>
    </row>
    <row r="377" spans="1:8" hidden="1" x14ac:dyDescent="0.25">
      <c r="A377" t="s">
        <v>417</v>
      </c>
      <c r="G377">
        <v>46</v>
      </c>
      <c r="H377">
        <v>4.5999999999999996</v>
      </c>
    </row>
    <row r="378" spans="1:8" hidden="1" x14ac:dyDescent="0.25">
      <c r="A378" t="s">
        <v>418</v>
      </c>
      <c r="G378">
        <v>105</v>
      </c>
      <c r="H378">
        <v>8.0769230769230695</v>
      </c>
    </row>
    <row r="379" spans="1:8" hidden="1" x14ac:dyDescent="0.25">
      <c r="A379" t="s">
        <v>419</v>
      </c>
      <c r="G379">
        <v>9</v>
      </c>
      <c r="H379">
        <v>4.5</v>
      </c>
    </row>
    <row r="380" spans="1:8" hidden="1" x14ac:dyDescent="0.25">
      <c r="A380" t="s">
        <v>420</v>
      </c>
      <c r="G380">
        <v>1</v>
      </c>
      <c r="H380">
        <v>1</v>
      </c>
    </row>
    <row r="381" spans="1:8" hidden="1" x14ac:dyDescent="0.25">
      <c r="A381" t="s">
        <v>421</v>
      </c>
      <c r="G381">
        <v>8</v>
      </c>
      <c r="H381">
        <v>2.6666666666666599</v>
      </c>
    </row>
    <row r="382" spans="1:8" hidden="1" x14ac:dyDescent="0.25">
      <c r="A382" t="s">
        <v>422</v>
      </c>
      <c r="G382">
        <v>52</v>
      </c>
      <c r="H382">
        <v>5.2</v>
      </c>
    </row>
    <row r="383" spans="1:8" hidden="1" x14ac:dyDescent="0.25">
      <c r="A383" t="s">
        <v>423</v>
      </c>
      <c r="G383">
        <v>2</v>
      </c>
      <c r="H383">
        <v>1</v>
      </c>
    </row>
    <row r="384" spans="1:8" hidden="1" x14ac:dyDescent="0.25">
      <c r="A384" t="s">
        <v>424</v>
      </c>
      <c r="G384">
        <v>9</v>
      </c>
      <c r="H384">
        <v>0.69230769230769196</v>
      </c>
    </row>
    <row r="385" spans="1:8" hidden="1" x14ac:dyDescent="0.25">
      <c r="A385" t="s">
        <v>425</v>
      </c>
      <c r="G385">
        <v>7</v>
      </c>
      <c r="H385">
        <v>3.5</v>
      </c>
    </row>
    <row r="386" spans="1:8" hidden="1" x14ac:dyDescent="0.25">
      <c r="A386" t="s">
        <v>426</v>
      </c>
      <c r="G386">
        <v>3</v>
      </c>
      <c r="H386">
        <v>0.75</v>
      </c>
    </row>
    <row r="387" spans="1:8" hidden="1" x14ac:dyDescent="0.25">
      <c r="A387" t="s">
        <v>427</v>
      </c>
      <c r="G387">
        <v>61</v>
      </c>
      <c r="H387">
        <v>5.5454545454545396</v>
      </c>
    </row>
    <row r="388" spans="1:8" hidden="1" x14ac:dyDescent="0.25">
      <c r="A388" t="s">
        <v>428</v>
      </c>
      <c r="G388">
        <v>33</v>
      </c>
      <c r="H388">
        <v>6.6</v>
      </c>
    </row>
    <row r="389" spans="1:8" hidden="1" x14ac:dyDescent="0.25">
      <c r="A389" t="s">
        <v>429</v>
      </c>
      <c r="G389">
        <v>5</v>
      </c>
      <c r="H389">
        <v>0.71428571428571397</v>
      </c>
    </row>
    <row r="390" spans="1:8" hidden="1" x14ac:dyDescent="0.25">
      <c r="A390" t="s">
        <v>430</v>
      </c>
      <c r="G390">
        <v>2</v>
      </c>
      <c r="H390">
        <v>1</v>
      </c>
    </row>
    <row r="391" spans="1:8" hidden="1" x14ac:dyDescent="0.25">
      <c r="A391" t="s">
        <v>431</v>
      </c>
      <c r="G391">
        <v>285</v>
      </c>
      <c r="H391">
        <v>16.764705882352899</v>
      </c>
    </row>
    <row r="392" spans="1:8" hidden="1" x14ac:dyDescent="0.25">
      <c r="A392" t="s">
        <v>432</v>
      </c>
      <c r="G392">
        <v>147</v>
      </c>
      <c r="H392">
        <v>9.1875</v>
      </c>
    </row>
    <row r="393" spans="1:8" hidden="1" x14ac:dyDescent="0.25">
      <c r="A393" t="s">
        <v>433</v>
      </c>
      <c r="G393">
        <v>62</v>
      </c>
      <c r="H393">
        <v>4.4285714285714199</v>
      </c>
    </row>
    <row r="394" spans="1:8" hidden="1" x14ac:dyDescent="0.25">
      <c r="A394" t="s">
        <v>434</v>
      </c>
      <c r="G394">
        <v>33</v>
      </c>
      <c r="H394">
        <v>3.3</v>
      </c>
    </row>
    <row r="395" spans="1:8" hidden="1" x14ac:dyDescent="0.25">
      <c r="A395" t="s">
        <v>435</v>
      </c>
      <c r="G395">
        <v>118</v>
      </c>
      <c r="H395">
        <v>16.857142857142801</v>
      </c>
    </row>
    <row r="396" spans="1:8" hidden="1" x14ac:dyDescent="0.25">
      <c r="A396" t="s">
        <v>436</v>
      </c>
      <c r="G396">
        <v>1</v>
      </c>
      <c r="H396">
        <v>0.16666666666666599</v>
      </c>
    </row>
    <row r="397" spans="1:8" hidden="1" x14ac:dyDescent="0.25">
      <c r="A397" t="s">
        <v>437</v>
      </c>
      <c r="G397">
        <v>31</v>
      </c>
      <c r="H397">
        <v>6.2</v>
      </c>
    </row>
    <row r="398" spans="1:8" hidden="1" x14ac:dyDescent="0.25">
      <c r="A398" t="s">
        <v>438</v>
      </c>
      <c r="G398">
        <v>44</v>
      </c>
      <c r="H398">
        <v>14.6666666666666</v>
      </c>
    </row>
    <row r="399" spans="1:8" hidden="1" x14ac:dyDescent="0.25">
      <c r="A399" t="s">
        <v>439</v>
      </c>
      <c r="G399">
        <v>1</v>
      </c>
      <c r="H399">
        <v>1</v>
      </c>
    </row>
    <row r="400" spans="1:8" hidden="1" x14ac:dyDescent="0.25">
      <c r="A400" t="s">
        <v>440</v>
      </c>
      <c r="G400">
        <v>54</v>
      </c>
      <c r="H400">
        <v>5.4</v>
      </c>
    </row>
    <row r="401" spans="1:8" hidden="1" x14ac:dyDescent="0.25">
      <c r="A401" t="s">
        <v>441</v>
      </c>
      <c r="G401">
        <v>10</v>
      </c>
      <c r="H401">
        <v>2</v>
      </c>
    </row>
    <row r="402" spans="1:8" hidden="1" x14ac:dyDescent="0.25">
      <c r="A402" t="s">
        <v>442</v>
      </c>
      <c r="G402">
        <v>33</v>
      </c>
      <c r="H402">
        <v>5.5</v>
      </c>
    </row>
    <row r="403" spans="1:8" hidden="1" x14ac:dyDescent="0.25">
      <c r="A403" t="s">
        <v>443</v>
      </c>
      <c r="G403">
        <v>0</v>
      </c>
      <c r="H403">
        <v>0</v>
      </c>
    </row>
    <row r="404" spans="1:8" hidden="1" x14ac:dyDescent="0.25">
      <c r="A404" t="s">
        <v>444</v>
      </c>
      <c r="G404">
        <v>71</v>
      </c>
      <c r="H404">
        <v>4.7333333333333298</v>
      </c>
    </row>
    <row r="405" spans="1:8" hidden="1" x14ac:dyDescent="0.25">
      <c r="A405" t="s">
        <v>445</v>
      </c>
      <c r="G405">
        <v>17</v>
      </c>
      <c r="H405">
        <v>5.6666666666666599</v>
      </c>
    </row>
    <row r="406" spans="1:8" hidden="1" x14ac:dyDescent="0.25">
      <c r="A406" t="s">
        <v>446</v>
      </c>
      <c r="G406">
        <v>66</v>
      </c>
      <c r="H406">
        <v>5.0769230769230704</v>
      </c>
    </row>
    <row r="407" spans="1:8" hidden="1" x14ac:dyDescent="0.25">
      <c r="A407" t="s">
        <v>447</v>
      </c>
      <c r="G407">
        <v>14</v>
      </c>
      <c r="H407">
        <v>3.5</v>
      </c>
    </row>
    <row r="408" spans="1:8" hidden="1" x14ac:dyDescent="0.25">
      <c r="A408" t="s">
        <v>448</v>
      </c>
      <c r="G408">
        <v>51</v>
      </c>
      <c r="H408">
        <v>6.375</v>
      </c>
    </row>
    <row r="409" spans="1:8" hidden="1" x14ac:dyDescent="0.25">
      <c r="A409" t="s">
        <v>449</v>
      </c>
      <c r="G409">
        <v>62</v>
      </c>
      <c r="H409">
        <v>5.6363636363636296</v>
      </c>
    </row>
    <row r="410" spans="1:8" hidden="1" x14ac:dyDescent="0.25">
      <c r="A410" t="s">
        <v>450</v>
      </c>
      <c r="G410">
        <v>53</v>
      </c>
      <c r="H410">
        <v>6.625</v>
      </c>
    </row>
    <row r="411" spans="1:8" hidden="1" x14ac:dyDescent="0.25">
      <c r="A411" t="s">
        <v>451</v>
      </c>
      <c r="G411">
        <v>65</v>
      </c>
      <c r="H411">
        <v>9.2857142857142794</v>
      </c>
    </row>
    <row r="412" spans="1:8" hidden="1" x14ac:dyDescent="0.25">
      <c r="A412" t="s">
        <v>452</v>
      </c>
      <c r="G412">
        <v>70</v>
      </c>
      <c r="H412">
        <v>5.3846153846153797</v>
      </c>
    </row>
    <row r="413" spans="1:8" hidden="1" x14ac:dyDescent="0.25">
      <c r="A413" t="s">
        <v>453</v>
      </c>
      <c r="G413">
        <v>2</v>
      </c>
      <c r="H413">
        <v>2</v>
      </c>
    </row>
    <row r="414" spans="1:8" hidden="1" x14ac:dyDescent="0.25">
      <c r="A414" t="s">
        <v>454</v>
      </c>
      <c r="G414">
        <v>182</v>
      </c>
      <c r="H414">
        <v>14</v>
      </c>
    </row>
    <row r="415" spans="1:8" hidden="1" x14ac:dyDescent="0.25">
      <c r="A415" t="s">
        <v>455</v>
      </c>
      <c r="G415">
        <v>4</v>
      </c>
      <c r="H415">
        <v>2</v>
      </c>
    </row>
    <row r="416" spans="1:8" hidden="1" x14ac:dyDescent="0.25">
      <c r="A416" t="s">
        <v>456</v>
      </c>
      <c r="G416">
        <v>39</v>
      </c>
      <c r="H416">
        <v>3.9</v>
      </c>
    </row>
    <row r="417" spans="1:8" hidden="1" x14ac:dyDescent="0.25">
      <c r="A417" t="s">
        <v>457</v>
      </c>
      <c r="G417">
        <v>76</v>
      </c>
      <c r="H417">
        <v>5.8461538461538396</v>
      </c>
    </row>
    <row r="418" spans="1:8" hidden="1" x14ac:dyDescent="0.25">
      <c r="A418" t="s">
        <v>458</v>
      </c>
      <c r="G418">
        <v>35</v>
      </c>
      <c r="H418">
        <v>3.5</v>
      </c>
    </row>
    <row r="419" spans="1:8" hidden="1" x14ac:dyDescent="0.25">
      <c r="A419" t="s">
        <v>459</v>
      </c>
      <c r="G419">
        <v>3</v>
      </c>
      <c r="H419">
        <v>1.5</v>
      </c>
    </row>
    <row r="420" spans="1:8" hidden="1" x14ac:dyDescent="0.25">
      <c r="A420" t="s">
        <v>460</v>
      </c>
      <c r="G420">
        <v>42</v>
      </c>
      <c r="H420">
        <v>3.5</v>
      </c>
    </row>
    <row r="421" spans="1:8" hidden="1" x14ac:dyDescent="0.25">
      <c r="A421" t="s">
        <v>461</v>
      </c>
      <c r="G421">
        <v>8</v>
      </c>
      <c r="H421">
        <v>2.6666666666666599</v>
      </c>
    </row>
    <row r="422" spans="1:8" hidden="1" x14ac:dyDescent="0.25">
      <c r="A422" t="s">
        <v>462</v>
      </c>
      <c r="G422">
        <v>9</v>
      </c>
      <c r="H422">
        <v>4.5</v>
      </c>
    </row>
    <row r="423" spans="1:8" hidden="1" x14ac:dyDescent="0.25">
      <c r="A423" t="s">
        <v>463</v>
      </c>
      <c r="G423">
        <v>-1</v>
      </c>
      <c r="H423">
        <v>-1</v>
      </c>
    </row>
    <row r="424" spans="1:8" hidden="1" x14ac:dyDescent="0.25">
      <c r="A424" t="s">
        <v>464</v>
      </c>
      <c r="G424">
        <v>1</v>
      </c>
      <c r="H424">
        <v>1</v>
      </c>
    </row>
    <row r="425" spans="1:8" hidden="1" x14ac:dyDescent="0.25">
      <c r="A425" t="s">
        <v>465</v>
      </c>
      <c r="G425">
        <v>17</v>
      </c>
      <c r="H425">
        <v>1.88888888888888</v>
      </c>
    </row>
    <row r="426" spans="1:8" hidden="1" x14ac:dyDescent="0.25">
      <c r="A426" t="s">
        <v>466</v>
      </c>
      <c r="G426">
        <v>10</v>
      </c>
      <c r="H426">
        <v>2</v>
      </c>
    </row>
    <row r="427" spans="1:8" hidden="1" x14ac:dyDescent="0.25">
      <c r="A427" t="s">
        <v>467</v>
      </c>
      <c r="G427">
        <v>4</v>
      </c>
      <c r="H427">
        <v>4</v>
      </c>
    </row>
    <row r="428" spans="1:8" hidden="1" x14ac:dyDescent="0.25">
      <c r="A428" t="s">
        <v>468</v>
      </c>
      <c r="G428">
        <v>30</v>
      </c>
      <c r="H428">
        <v>6</v>
      </c>
    </row>
    <row r="429" spans="1:8" hidden="1" x14ac:dyDescent="0.25">
      <c r="A429" t="s">
        <v>469</v>
      </c>
      <c r="G429">
        <v>0</v>
      </c>
      <c r="H429">
        <v>0</v>
      </c>
    </row>
    <row r="430" spans="1:8" hidden="1" x14ac:dyDescent="0.25">
      <c r="A430" t="s">
        <v>470</v>
      </c>
      <c r="G430">
        <v>69</v>
      </c>
      <c r="H430">
        <v>6.9</v>
      </c>
    </row>
    <row r="431" spans="1:8" hidden="1" x14ac:dyDescent="0.25">
      <c r="A431" t="s">
        <v>471</v>
      </c>
      <c r="G431">
        <v>87</v>
      </c>
      <c r="H431">
        <v>5.8</v>
      </c>
    </row>
    <row r="432" spans="1:8" hidden="1" x14ac:dyDescent="0.25">
      <c r="A432" t="s">
        <v>472</v>
      </c>
      <c r="G432">
        <v>11</v>
      </c>
      <c r="H432">
        <v>3.6666666666666599</v>
      </c>
    </row>
    <row r="433" spans="1:8" hidden="1" x14ac:dyDescent="0.25">
      <c r="A433" t="s">
        <v>473</v>
      </c>
      <c r="G433">
        <v>44</v>
      </c>
      <c r="H433">
        <v>4.8888888888888804</v>
      </c>
    </row>
    <row r="434" spans="1:8" hidden="1" x14ac:dyDescent="0.25">
      <c r="A434" t="s">
        <v>474</v>
      </c>
      <c r="G434">
        <v>15</v>
      </c>
      <c r="H434">
        <v>2.1428571428571401</v>
      </c>
    </row>
    <row r="435" spans="1:8" hidden="1" x14ac:dyDescent="0.25">
      <c r="A435" t="s">
        <v>475</v>
      </c>
      <c r="G435">
        <v>295</v>
      </c>
      <c r="H435">
        <v>17.352941176470502</v>
      </c>
    </row>
    <row r="436" spans="1:8" hidden="1" x14ac:dyDescent="0.25">
      <c r="A436" t="s">
        <v>476</v>
      </c>
      <c r="G436">
        <v>8</v>
      </c>
      <c r="H436">
        <v>1.6</v>
      </c>
    </row>
    <row r="437" spans="1:8" hidden="1" x14ac:dyDescent="0.25">
      <c r="A437" t="s">
        <v>477</v>
      </c>
      <c r="G437">
        <v>4</v>
      </c>
      <c r="H437">
        <v>4</v>
      </c>
    </row>
    <row r="438" spans="1:8" hidden="1" x14ac:dyDescent="0.25">
      <c r="A438" t="s">
        <v>478</v>
      </c>
      <c r="G438">
        <v>2</v>
      </c>
      <c r="H438">
        <v>1</v>
      </c>
    </row>
    <row r="439" spans="1:8" hidden="1" x14ac:dyDescent="0.25">
      <c r="A439" t="s">
        <v>479</v>
      </c>
      <c r="G439">
        <v>5</v>
      </c>
      <c r="H439">
        <v>2.5</v>
      </c>
    </row>
    <row r="440" spans="1:8" hidden="1" x14ac:dyDescent="0.25">
      <c r="A440" t="s">
        <v>480</v>
      </c>
      <c r="G440">
        <v>6</v>
      </c>
      <c r="H440">
        <v>6</v>
      </c>
    </row>
    <row r="441" spans="1:8" hidden="1" x14ac:dyDescent="0.25">
      <c r="A441" t="s">
        <v>481</v>
      </c>
      <c r="G441">
        <v>4</v>
      </c>
      <c r="H441">
        <v>2</v>
      </c>
    </row>
    <row r="442" spans="1:8" hidden="1" x14ac:dyDescent="0.25">
      <c r="A442" t="s">
        <v>482</v>
      </c>
      <c r="G442">
        <v>0</v>
      </c>
      <c r="H442">
        <v>0</v>
      </c>
    </row>
    <row r="443" spans="1:8" hidden="1" x14ac:dyDescent="0.25">
      <c r="A443" t="s">
        <v>483</v>
      </c>
      <c r="G443">
        <v>4</v>
      </c>
      <c r="H443">
        <v>0.8</v>
      </c>
    </row>
    <row r="444" spans="1:8" hidden="1" x14ac:dyDescent="0.25">
      <c r="A444" t="s">
        <v>484</v>
      </c>
      <c r="G444">
        <v>89</v>
      </c>
      <c r="H444">
        <v>5.93333333333333</v>
      </c>
    </row>
    <row r="445" spans="1:8" hidden="1" x14ac:dyDescent="0.25">
      <c r="A445" t="s">
        <v>485</v>
      </c>
      <c r="G445">
        <v>8</v>
      </c>
      <c r="H445">
        <v>8</v>
      </c>
    </row>
    <row r="446" spans="1:8" hidden="1" x14ac:dyDescent="0.25">
      <c r="A446" t="s">
        <v>486</v>
      </c>
      <c r="G446">
        <v>86</v>
      </c>
      <c r="H446">
        <v>6.1428571428571397</v>
      </c>
    </row>
    <row r="447" spans="1:8" hidden="1" x14ac:dyDescent="0.25">
      <c r="A447" t="s">
        <v>487</v>
      </c>
      <c r="G447">
        <v>12</v>
      </c>
      <c r="H447">
        <v>1.5</v>
      </c>
    </row>
    <row r="448" spans="1:8" hidden="1" x14ac:dyDescent="0.25">
      <c r="A448" t="s">
        <v>488</v>
      </c>
      <c r="G448">
        <v>6</v>
      </c>
      <c r="H448">
        <v>6</v>
      </c>
    </row>
    <row r="449" spans="1:8" hidden="1" x14ac:dyDescent="0.25">
      <c r="A449" t="s">
        <v>489</v>
      </c>
      <c r="G449">
        <v>14</v>
      </c>
      <c r="H449">
        <v>1.75</v>
      </c>
    </row>
    <row r="450" spans="1:8" hidden="1" x14ac:dyDescent="0.25">
      <c r="A450" t="s">
        <v>490</v>
      </c>
      <c r="G450">
        <v>0</v>
      </c>
      <c r="H450">
        <v>0</v>
      </c>
    </row>
    <row r="451" spans="1:8" hidden="1" x14ac:dyDescent="0.25">
      <c r="A451" t="s">
        <v>491</v>
      </c>
      <c r="G451">
        <v>34</v>
      </c>
      <c r="H451">
        <v>3.4</v>
      </c>
    </row>
    <row r="452" spans="1:8" hidden="1" x14ac:dyDescent="0.25">
      <c r="A452" t="s">
        <v>492</v>
      </c>
      <c r="G452">
        <v>9</v>
      </c>
      <c r="H452">
        <v>2.25</v>
      </c>
    </row>
    <row r="453" spans="1:8" hidden="1" x14ac:dyDescent="0.25">
      <c r="A453" t="s">
        <v>493</v>
      </c>
      <c r="G453">
        <v>16</v>
      </c>
      <c r="H453">
        <v>4</v>
      </c>
    </row>
    <row r="454" spans="1:8" hidden="1" x14ac:dyDescent="0.25">
      <c r="A454" t="s">
        <v>494</v>
      </c>
      <c r="G454">
        <v>109</v>
      </c>
      <c r="H454">
        <v>7.7857142857142803</v>
      </c>
    </row>
    <row r="455" spans="1:8" hidden="1" x14ac:dyDescent="0.25">
      <c r="A455" t="s">
        <v>495</v>
      </c>
      <c r="G455">
        <v>102</v>
      </c>
      <c r="H455">
        <v>11.3333333333333</v>
      </c>
    </row>
    <row r="456" spans="1:8" hidden="1" x14ac:dyDescent="0.25">
      <c r="A456" t="s">
        <v>496</v>
      </c>
      <c r="G456">
        <v>6</v>
      </c>
      <c r="H456">
        <v>6</v>
      </c>
    </row>
    <row r="457" spans="1:8" hidden="1" x14ac:dyDescent="0.25">
      <c r="A457" t="s">
        <v>497</v>
      </c>
      <c r="G457">
        <v>20</v>
      </c>
      <c r="H457">
        <v>3.3333333333333299</v>
      </c>
    </row>
    <row r="458" spans="1:8" hidden="1" x14ac:dyDescent="0.25">
      <c r="A458" t="s">
        <v>498</v>
      </c>
      <c r="G458">
        <v>131</v>
      </c>
      <c r="H458">
        <v>13.1</v>
      </c>
    </row>
    <row r="459" spans="1:8" hidden="1" x14ac:dyDescent="0.25">
      <c r="A459" t="s">
        <v>499</v>
      </c>
      <c r="G459">
        <v>106</v>
      </c>
      <c r="H459">
        <v>8.8333333333333304</v>
      </c>
    </row>
    <row r="460" spans="1:8" hidden="1" x14ac:dyDescent="0.25">
      <c r="A460" t="s">
        <v>500</v>
      </c>
      <c r="G460">
        <v>18</v>
      </c>
      <c r="H460">
        <v>3</v>
      </c>
    </row>
    <row r="461" spans="1:8" hidden="1" x14ac:dyDescent="0.25">
      <c r="A461" t="s">
        <v>501</v>
      </c>
      <c r="G461">
        <v>72</v>
      </c>
      <c r="H461">
        <v>5.5384615384615303</v>
      </c>
    </row>
    <row r="462" spans="1:8" hidden="1" x14ac:dyDescent="0.25">
      <c r="A462" t="s">
        <v>502</v>
      </c>
      <c r="G462">
        <v>5</v>
      </c>
      <c r="H462">
        <v>5</v>
      </c>
    </row>
    <row r="463" spans="1:8" hidden="1" x14ac:dyDescent="0.25">
      <c r="A463" t="s">
        <v>503</v>
      </c>
      <c r="G463">
        <v>2</v>
      </c>
      <c r="H463">
        <v>1</v>
      </c>
    </row>
    <row r="464" spans="1:8" hidden="1" x14ac:dyDescent="0.25">
      <c r="A464" t="s">
        <v>504</v>
      </c>
      <c r="G464">
        <v>140</v>
      </c>
      <c r="H464">
        <v>10</v>
      </c>
    </row>
    <row r="465" spans="1:8" hidden="1" x14ac:dyDescent="0.25">
      <c r="A465" t="s">
        <v>505</v>
      </c>
      <c r="G465">
        <v>53</v>
      </c>
      <c r="H465">
        <v>13.25</v>
      </c>
    </row>
    <row r="466" spans="1:8" hidden="1" x14ac:dyDescent="0.25">
      <c r="A466" t="s">
        <v>506</v>
      </c>
      <c r="G466">
        <v>3</v>
      </c>
      <c r="H466">
        <v>3</v>
      </c>
    </row>
    <row r="467" spans="1:8" hidden="1" x14ac:dyDescent="0.25">
      <c r="A467" t="s">
        <v>507</v>
      </c>
      <c r="G467">
        <v>2</v>
      </c>
      <c r="H467">
        <v>2</v>
      </c>
    </row>
    <row r="468" spans="1:8" hidden="1" x14ac:dyDescent="0.25">
      <c r="A468" t="s">
        <v>508</v>
      </c>
      <c r="G468">
        <v>43</v>
      </c>
      <c r="H468">
        <v>3.9090909090908998</v>
      </c>
    </row>
    <row r="469" spans="1:8" hidden="1" x14ac:dyDescent="0.25">
      <c r="A469" t="s">
        <v>509</v>
      </c>
      <c r="G469">
        <v>5</v>
      </c>
      <c r="H469">
        <v>2.5</v>
      </c>
    </row>
    <row r="470" spans="1:8" hidden="1" x14ac:dyDescent="0.25">
      <c r="A470" t="s">
        <v>510</v>
      </c>
      <c r="G470">
        <v>163</v>
      </c>
      <c r="H470">
        <v>12.538461538461499</v>
      </c>
    </row>
    <row r="471" spans="1:8" hidden="1" x14ac:dyDescent="0.25">
      <c r="A471" t="s">
        <v>511</v>
      </c>
      <c r="G471">
        <v>22</v>
      </c>
      <c r="H471">
        <v>4.4000000000000004</v>
      </c>
    </row>
    <row r="472" spans="1:8" hidden="1" x14ac:dyDescent="0.25">
      <c r="A472" t="s">
        <v>512</v>
      </c>
      <c r="G472">
        <v>1</v>
      </c>
      <c r="H472">
        <v>1</v>
      </c>
    </row>
    <row r="473" spans="1:8" hidden="1" x14ac:dyDescent="0.25">
      <c r="A473" t="s">
        <v>513</v>
      </c>
      <c r="G473">
        <v>1</v>
      </c>
      <c r="H473">
        <v>1</v>
      </c>
    </row>
    <row r="474" spans="1:8" hidden="1" x14ac:dyDescent="0.25">
      <c r="A474" t="s">
        <v>514</v>
      </c>
      <c r="G474">
        <v>4</v>
      </c>
      <c r="H474">
        <v>4</v>
      </c>
    </row>
    <row r="475" spans="1:8" hidden="1" x14ac:dyDescent="0.25">
      <c r="A475" t="s">
        <v>515</v>
      </c>
      <c r="G475">
        <v>0</v>
      </c>
      <c r="H475">
        <v>0</v>
      </c>
    </row>
    <row r="476" spans="1:8" hidden="1" x14ac:dyDescent="0.25">
      <c r="A476" t="s">
        <v>516</v>
      </c>
      <c r="G476">
        <v>-2</v>
      </c>
      <c r="H476">
        <v>-1</v>
      </c>
    </row>
    <row r="477" spans="1:8" hidden="1" x14ac:dyDescent="0.25">
      <c r="A477" t="s">
        <v>517</v>
      </c>
      <c r="G477">
        <v>1</v>
      </c>
      <c r="H477">
        <v>1</v>
      </c>
    </row>
    <row r="478" spans="1:8" hidden="1" x14ac:dyDescent="0.25">
      <c r="A478" t="s">
        <v>518</v>
      </c>
      <c r="G478">
        <v>6</v>
      </c>
      <c r="H478">
        <v>2</v>
      </c>
    </row>
    <row r="479" spans="1:8" hidden="1" x14ac:dyDescent="0.25">
      <c r="A479" t="s">
        <v>519</v>
      </c>
      <c r="G479">
        <v>15</v>
      </c>
      <c r="H479">
        <v>1.6666666666666601</v>
      </c>
    </row>
    <row r="480" spans="1:8" hidden="1" x14ac:dyDescent="0.25">
      <c r="A480" t="s">
        <v>520</v>
      </c>
      <c r="G480">
        <v>3</v>
      </c>
      <c r="H480">
        <v>0.75</v>
      </c>
    </row>
    <row r="481" spans="1:8" hidden="1" x14ac:dyDescent="0.25">
      <c r="A481" t="s">
        <v>521</v>
      </c>
      <c r="G481">
        <v>62</v>
      </c>
      <c r="H481">
        <v>4.7692307692307603</v>
      </c>
    </row>
    <row r="482" spans="1:8" hidden="1" x14ac:dyDescent="0.25">
      <c r="A482" t="s">
        <v>522</v>
      </c>
      <c r="G482">
        <v>50</v>
      </c>
      <c r="H482">
        <v>6.25</v>
      </c>
    </row>
    <row r="483" spans="1:8" hidden="1" x14ac:dyDescent="0.25">
      <c r="A483" t="s">
        <v>523</v>
      </c>
      <c r="G483">
        <v>31</v>
      </c>
      <c r="H483">
        <v>4.4285714285714199</v>
      </c>
    </row>
    <row r="484" spans="1:8" hidden="1" x14ac:dyDescent="0.25">
      <c r="A484" t="s">
        <v>524</v>
      </c>
      <c r="G484">
        <v>20</v>
      </c>
      <c r="H484">
        <v>5</v>
      </c>
    </row>
    <row r="485" spans="1:8" hidden="1" x14ac:dyDescent="0.25">
      <c r="A485" t="s">
        <v>525</v>
      </c>
      <c r="G485">
        <v>12</v>
      </c>
      <c r="H485">
        <v>3</v>
      </c>
    </row>
    <row r="486" spans="1:8" hidden="1" x14ac:dyDescent="0.25">
      <c r="A486" t="s">
        <v>526</v>
      </c>
      <c r="G486">
        <v>3</v>
      </c>
      <c r="H486">
        <v>1.5</v>
      </c>
    </row>
    <row r="487" spans="1:8" hidden="1" x14ac:dyDescent="0.25">
      <c r="A487" t="s">
        <v>527</v>
      </c>
      <c r="G487">
        <v>12</v>
      </c>
      <c r="H487">
        <v>1.3333333333333299</v>
      </c>
    </row>
    <row r="488" spans="1:8" hidden="1" x14ac:dyDescent="0.25">
      <c r="A488" t="s">
        <v>528</v>
      </c>
      <c r="G488">
        <v>14</v>
      </c>
      <c r="H488">
        <v>2.3333333333333299</v>
      </c>
    </row>
    <row r="489" spans="1:8" hidden="1" x14ac:dyDescent="0.25">
      <c r="A489" t="s">
        <v>529</v>
      </c>
      <c r="G489">
        <v>181</v>
      </c>
      <c r="H489">
        <v>10.647058823529401</v>
      </c>
    </row>
    <row r="490" spans="1:8" hidden="1" x14ac:dyDescent="0.25">
      <c r="A490" t="s">
        <v>530</v>
      </c>
      <c r="G490">
        <v>32</v>
      </c>
      <c r="H490">
        <v>5.3333333333333304</v>
      </c>
    </row>
    <row r="491" spans="1:8" hidden="1" x14ac:dyDescent="0.25">
      <c r="A491" t="s">
        <v>531</v>
      </c>
      <c r="G491">
        <v>5</v>
      </c>
      <c r="H491">
        <v>2.5</v>
      </c>
    </row>
    <row r="492" spans="1:8" hidden="1" x14ac:dyDescent="0.25">
      <c r="A492" t="s">
        <v>532</v>
      </c>
      <c r="G492">
        <v>4</v>
      </c>
      <c r="H492">
        <v>1.3333333333333299</v>
      </c>
    </row>
    <row r="493" spans="1:8" hidden="1" x14ac:dyDescent="0.25">
      <c r="A493" t="s">
        <v>533</v>
      </c>
      <c r="G493">
        <v>73</v>
      </c>
      <c r="H493">
        <v>4.5625</v>
      </c>
    </row>
    <row r="494" spans="1:8" hidden="1" x14ac:dyDescent="0.25">
      <c r="A494" t="s">
        <v>534</v>
      </c>
      <c r="G494">
        <v>5</v>
      </c>
      <c r="H494">
        <v>5</v>
      </c>
    </row>
    <row r="495" spans="1:8" hidden="1" x14ac:dyDescent="0.25">
      <c r="A495" t="s">
        <v>535</v>
      </c>
      <c r="G495">
        <v>58</v>
      </c>
      <c r="H495">
        <v>8.2857142857142794</v>
      </c>
    </row>
    <row r="496" spans="1:8" hidden="1" x14ac:dyDescent="0.25">
      <c r="A496" t="s">
        <v>536</v>
      </c>
      <c r="G496">
        <v>113</v>
      </c>
      <c r="H496">
        <v>7.5333333333333297</v>
      </c>
    </row>
    <row r="497" spans="1:8" hidden="1" x14ac:dyDescent="0.25">
      <c r="A497" t="s">
        <v>537</v>
      </c>
      <c r="G497">
        <v>108</v>
      </c>
      <c r="H497">
        <v>6.75</v>
      </c>
    </row>
    <row r="498" spans="1:8" hidden="1" x14ac:dyDescent="0.25">
      <c r="A498" t="s">
        <v>538</v>
      </c>
      <c r="G498">
        <v>3</v>
      </c>
      <c r="H498">
        <v>3</v>
      </c>
    </row>
    <row r="499" spans="1:8" hidden="1" x14ac:dyDescent="0.25">
      <c r="A499" t="s">
        <v>539</v>
      </c>
      <c r="G499">
        <v>11</v>
      </c>
      <c r="H499">
        <v>11</v>
      </c>
    </row>
    <row r="500" spans="1:8" hidden="1" x14ac:dyDescent="0.25">
      <c r="A500" t="s">
        <v>540</v>
      </c>
      <c r="G500">
        <v>9</v>
      </c>
      <c r="H500">
        <v>2.25</v>
      </c>
    </row>
    <row r="501" spans="1:8" hidden="1" x14ac:dyDescent="0.25">
      <c r="A501" t="s">
        <v>541</v>
      </c>
      <c r="G501">
        <v>157</v>
      </c>
      <c r="H501">
        <v>14.272727272727201</v>
      </c>
    </row>
    <row r="502" spans="1:8" hidden="1" x14ac:dyDescent="0.25">
      <c r="A502" t="s">
        <v>542</v>
      </c>
      <c r="G502">
        <v>1</v>
      </c>
      <c r="H502">
        <v>1</v>
      </c>
    </row>
    <row r="503" spans="1:8" hidden="1" x14ac:dyDescent="0.25">
      <c r="A503" t="s">
        <v>543</v>
      </c>
      <c r="G503">
        <v>44</v>
      </c>
      <c r="H503">
        <v>4.4000000000000004</v>
      </c>
    </row>
    <row r="504" spans="1:8" hidden="1" x14ac:dyDescent="0.25">
      <c r="A504" t="s">
        <v>544</v>
      </c>
      <c r="G504">
        <v>76</v>
      </c>
      <c r="H504">
        <v>6.9090909090909003</v>
      </c>
    </row>
    <row r="505" spans="1:8" hidden="1" x14ac:dyDescent="0.25">
      <c r="A505" t="s">
        <v>545</v>
      </c>
      <c r="G505">
        <v>47</v>
      </c>
      <c r="H505">
        <v>7.8333333333333304</v>
      </c>
    </row>
    <row r="506" spans="1:8" hidden="1" x14ac:dyDescent="0.25">
      <c r="A506" t="s">
        <v>546</v>
      </c>
      <c r="G506">
        <v>65</v>
      </c>
      <c r="H506">
        <v>4.3333333333333304</v>
      </c>
    </row>
    <row r="507" spans="1:8" hidden="1" x14ac:dyDescent="0.25">
      <c r="A507" t="s">
        <v>547</v>
      </c>
      <c r="G507">
        <v>28</v>
      </c>
      <c r="H507">
        <v>4</v>
      </c>
    </row>
    <row r="508" spans="1:8" hidden="1" x14ac:dyDescent="0.25">
      <c r="A508" t="s">
        <v>548</v>
      </c>
      <c r="G508">
        <v>2</v>
      </c>
      <c r="H508">
        <v>2</v>
      </c>
    </row>
    <row r="509" spans="1:8" hidden="1" x14ac:dyDescent="0.25">
      <c r="A509" t="s">
        <v>549</v>
      </c>
      <c r="G509">
        <v>20</v>
      </c>
      <c r="H509">
        <v>2.8571428571428501</v>
      </c>
    </row>
    <row r="510" spans="1:8" hidden="1" x14ac:dyDescent="0.25">
      <c r="A510" t="s">
        <v>550</v>
      </c>
      <c r="G510">
        <v>71</v>
      </c>
      <c r="H510">
        <v>11.8333333333333</v>
      </c>
    </row>
    <row r="511" spans="1:8" hidden="1" x14ac:dyDescent="0.25">
      <c r="A511" t="s">
        <v>551</v>
      </c>
      <c r="G511">
        <v>25</v>
      </c>
      <c r="H511">
        <v>5</v>
      </c>
    </row>
    <row r="512" spans="1:8" hidden="1" x14ac:dyDescent="0.25">
      <c r="A512" t="s">
        <v>552</v>
      </c>
      <c r="G512">
        <v>4</v>
      </c>
      <c r="H512">
        <v>1.3333333333333299</v>
      </c>
    </row>
    <row r="513" spans="1:8" hidden="1" x14ac:dyDescent="0.25">
      <c r="A513" t="s">
        <v>553</v>
      </c>
      <c r="G513">
        <v>18</v>
      </c>
      <c r="H513">
        <v>3.6</v>
      </c>
    </row>
    <row r="514" spans="1:8" hidden="1" x14ac:dyDescent="0.25">
      <c r="A514" t="s">
        <v>554</v>
      </c>
      <c r="G514">
        <v>7</v>
      </c>
      <c r="H514">
        <v>2.3333333333333299</v>
      </c>
    </row>
    <row r="515" spans="1:8" hidden="1" x14ac:dyDescent="0.25">
      <c r="A515" t="s">
        <v>555</v>
      </c>
      <c r="G515">
        <v>29</v>
      </c>
      <c r="H515">
        <v>9.6666666666666607</v>
      </c>
    </row>
    <row r="516" spans="1:8" hidden="1" x14ac:dyDescent="0.25">
      <c r="A516" t="s">
        <v>556</v>
      </c>
      <c r="G516">
        <v>57</v>
      </c>
      <c r="H516">
        <v>3.8</v>
      </c>
    </row>
    <row r="517" spans="1:8" hidden="1" x14ac:dyDescent="0.25">
      <c r="A517" t="s">
        <v>557</v>
      </c>
      <c r="G517">
        <v>20</v>
      </c>
      <c r="H517">
        <v>20</v>
      </c>
    </row>
    <row r="518" spans="1:8" hidden="1" x14ac:dyDescent="0.25">
      <c r="A518" t="s">
        <v>558</v>
      </c>
      <c r="G518">
        <v>261</v>
      </c>
      <c r="H518">
        <v>15.3529411764705</v>
      </c>
    </row>
    <row r="519" spans="1:8" hidden="1" x14ac:dyDescent="0.25">
      <c r="A519" t="s">
        <v>559</v>
      </c>
      <c r="G519">
        <v>26</v>
      </c>
      <c r="H519">
        <v>2.88888888888888</v>
      </c>
    </row>
    <row r="520" spans="1:8" hidden="1" x14ac:dyDescent="0.25">
      <c r="A520" t="s">
        <v>560</v>
      </c>
      <c r="G520">
        <v>99</v>
      </c>
      <c r="H520">
        <v>7.0714285714285703</v>
      </c>
    </row>
    <row r="521" spans="1:8" hidden="1" x14ac:dyDescent="0.25">
      <c r="A521" t="s">
        <v>561</v>
      </c>
      <c r="G521">
        <v>106</v>
      </c>
      <c r="H521">
        <v>8.8333333333333304</v>
      </c>
    </row>
    <row r="522" spans="1:8" hidden="1" x14ac:dyDescent="0.25">
      <c r="A522" t="s">
        <v>562</v>
      </c>
      <c r="G522">
        <v>1</v>
      </c>
      <c r="H522">
        <v>0.5</v>
      </c>
    </row>
    <row r="523" spans="1:8" hidden="1" x14ac:dyDescent="0.25">
      <c r="A523" t="s">
        <v>563</v>
      </c>
      <c r="G523">
        <v>42</v>
      </c>
      <c r="H523">
        <v>4.2</v>
      </c>
    </row>
    <row r="524" spans="1:8" hidden="1" x14ac:dyDescent="0.25">
      <c r="A524" t="s">
        <v>564</v>
      </c>
      <c r="G524">
        <v>17</v>
      </c>
      <c r="H524">
        <v>2.8333333333333299</v>
      </c>
    </row>
    <row r="525" spans="1:8" hidden="1" x14ac:dyDescent="0.25">
      <c r="A525" t="s">
        <v>565</v>
      </c>
      <c r="G525">
        <v>32</v>
      </c>
      <c r="H525">
        <v>10.6666666666666</v>
      </c>
    </row>
    <row r="526" spans="1:8" hidden="1" x14ac:dyDescent="0.25">
      <c r="A526" t="s">
        <v>566</v>
      </c>
      <c r="G526">
        <v>43</v>
      </c>
      <c r="H526">
        <v>4.7777777777777697</v>
      </c>
    </row>
    <row r="527" spans="1:8" hidden="1" x14ac:dyDescent="0.25">
      <c r="A527" t="s">
        <v>567</v>
      </c>
      <c r="G527">
        <v>19</v>
      </c>
      <c r="H527">
        <v>3.8</v>
      </c>
    </row>
    <row r="528" spans="1:8" hidden="1" x14ac:dyDescent="0.25">
      <c r="A528" t="s">
        <v>568</v>
      </c>
      <c r="G528">
        <v>64</v>
      </c>
      <c r="H528">
        <v>9.1428571428571406</v>
      </c>
    </row>
    <row r="529" spans="1:8" hidden="1" x14ac:dyDescent="0.25">
      <c r="A529" t="s">
        <v>569</v>
      </c>
      <c r="G529">
        <v>78</v>
      </c>
      <c r="H529">
        <v>8.6666666666666607</v>
      </c>
    </row>
    <row r="530" spans="1:8" hidden="1" x14ac:dyDescent="0.25">
      <c r="A530" t="s">
        <v>570</v>
      </c>
      <c r="G530">
        <v>120</v>
      </c>
      <c r="H530">
        <v>7.5</v>
      </c>
    </row>
    <row r="531" spans="1:8" hidden="1" x14ac:dyDescent="0.25">
      <c r="A531" t="s">
        <v>571</v>
      </c>
      <c r="G531">
        <v>10</v>
      </c>
      <c r="H531">
        <v>1.4285714285714199</v>
      </c>
    </row>
    <row r="532" spans="1:8" hidden="1" x14ac:dyDescent="0.25">
      <c r="A532" t="s">
        <v>572</v>
      </c>
      <c r="G532">
        <v>0</v>
      </c>
      <c r="H532">
        <v>0</v>
      </c>
    </row>
    <row r="533" spans="1:8" hidden="1" x14ac:dyDescent="0.25">
      <c r="A533" t="s">
        <v>573</v>
      </c>
      <c r="G533">
        <v>11</v>
      </c>
      <c r="H533">
        <v>5.5</v>
      </c>
    </row>
    <row r="534" spans="1:8" hidden="1" x14ac:dyDescent="0.25">
      <c r="A534" t="s">
        <v>574</v>
      </c>
      <c r="G534">
        <v>47</v>
      </c>
      <c r="H534">
        <v>4.7</v>
      </c>
    </row>
    <row r="535" spans="1:8" hidden="1" x14ac:dyDescent="0.25">
      <c r="A535" t="s">
        <v>575</v>
      </c>
      <c r="G535">
        <v>212</v>
      </c>
      <c r="H535">
        <v>12.4705882352941</v>
      </c>
    </row>
    <row r="536" spans="1:8" hidden="1" x14ac:dyDescent="0.25">
      <c r="A536" t="s">
        <v>576</v>
      </c>
      <c r="G536">
        <v>70</v>
      </c>
      <c r="H536">
        <v>14</v>
      </c>
    </row>
    <row r="537" spans="1:8" hidden="1" x14ac:dyDescent="0.25">
      <c r="A537" t="s">
        <v>577</v>
      </c>
      <c r="G537">
        <v>5</v>
      </c>
      <c r="H537">
        <v>1.6666666666666601</v>
      </c>
    </row>
    <row r="538" spans="1:8" hidden="1" x14ac:dyDescent="0.25">
      <c r="A538" t="s">
        <v>578</v>
      </c>
      <c r="G538">
        <v>222</v>
      </c>
      <c r="H538">
        <v>13.875</v>
      </c>
    </row>
    <row r="539" spans="1:8" hidden="1" x14ac:dyDescent="0.25">
      <c r="A539" t="s">
        <v>579</v>
      </c>
      <c r="G539">
        <v>-2</v>
      </c>
      <c r="H539">
        <v>-0.66666666666666596</v>
      </c>
    </row>
    <row r="540" spans="1:8" hidden="1" x14ac:dyDescent="0.25">
      <c r="A540" t="s">
        <v>580</v>
      </c>
      <c r="G540">
        <v>2</v>
      </c>
      <c r="H540">
        <v>2</v>
      </c>
    </row>
    <row r="541" spans="1:8" hidden="1" x14ac:dyDescent="0.25">
      <c r="A541" t="s">
        <v>581</v>
      </c>
      <c r="G541">
        <v>-4</v>
      </c>
      <c r="H541">
        <v>-1.3333333333333299</v>
      </c>
    </row>
    <row r="542" spans="1:8" hidden="1" x14ac:dyDescent="0.25">
      <c r="A542" t="s">
        <v>582</v>
      </c>
      <c r="G542">
        <v>13</v>
      </c>
      <c r="H542">
        <v>1.44444444444444</v>
      </c>
    </row>
    <row r="543" spans="1:8" hidden="1" x14ac:dyDescent="0.25">
      <c r="A543" t="s">
        <v>583</v>
      </c>
      <c r="G543">
        <v>169</v>
      </c>
      <c r="H543">
        <v>9.9411764705882302</v>
      </c>
    </row>
    <row r="544" spans="1:8" hidden="1" x14ac:dyDescent="0.25">
      <c r="A544" t="s">
        <v>584</v>
      </c>
      <c r="G544">
        <v>19</v>
      </c>
      <c r="H544">
        <v>3.8</v>
      </c>
    </row>
    <row r="545" spans="1:8" hidden="1" x14ac:dyDescent="0.25">
      <c r="A545" t="s">
        <v>585</v>
      </c>
      <c r="G545">
        <v>2</v>
      </c>
      <c r="H545">
        <v>2</v>
      </c>
    </row>
    <row r="546" spans="1:8" hidden="1" x14ac:dyDescent="0.25">
      <c r="A546" t="s">
        <v>586</v>
      </c>
      <c r="G546">
        <v>84</v>
      </c>
      <c r="H546">
        <v>5.6</v>
      </c>
    </row>
    <row r="547" spans="1:8" hidden="1" x14ac:dyDescent="0.25">
      <c r="A547" t="s">
        <v>587</v>
      </c>
      <c r="G547">
        <v>8</v>
      </c>
      <c r="H547">
        <v>2.6666666666666599</v>
      </c>
    </row>
    <row r="548" spans="1:8" hidden="1" x14ac:dyDescent="0.25">
      <c r="A548" t="s">
        <v>588</v>
      </c>
      <c r="G548">
        <v>16</v>
      </c>
      <c r="H548">
        <v>2.6666666666666599</v>
      </c>
    </row>
    <row r="549" spans="1:8" hidden="1" x14ac:dyDescent="0.25">
      <c r="A549" t="s">
        <v>589</v>
      </c>
      <c r="G549">
        <v>43</v>
      </c>
      <c r="H549">
        <v>3.5833333333333299</v>
      </c>
    </row>
    <row r="550" spans="1:8" hidden="1" x14ac:dyDescent="0.25">
      <c r="A550" t="s">
        <v>590</v>
      </c>
      <c r="G550">
        <v>0</v>
      </c>
      <c r="H550">
        <v>0</v>
      </c>
    </row>
    <row r="551" spans="1:8" hidden="1" x14ac:dyDescent="0.25">
      <c r="A551" t="s">
        <v>591</v>
      </c>
      <c r="G551">
        <v>47</v>
      </c>
      <c r="H551">
        <v>3.9166666666666599</v>
      </c>
    </row>
    <row r="552" spans="1:8" hidden="1" x14ac:dyDescent="0.25">
      <c r="A552" t="s">
        <v>592</v>
      </c>
      <c r="G552">
        <v>4</v>
      </c>
      <c r="H552">
        <v>2</v>
      </c>
    </row>
    <row r="553" spans="1:8" hidden="1" x14ac:dyDescent="0.25">
      <c r="A553" t="s">
        <v>593</v>
      </c>
      <c r="G553">
        <v>39</v>
      </c>
      <c r="H553">
        <v>5.5714285714285703</v>
      </c>
    </row>
    <row r="554" spans="1:8" hidden="1" x14ac:dyDescent="0.25">
      <c r="A554" t="s">
        <v>594</v>
      </c>
      <c r="G554">
        <v>6</v>
      </c>
      <c r="H554">
        <v>1.2</v>
      </c>
    </row>
    <row r="555" spans="1:8" hidden="1" x14ac:dyDescent="0.25">
      <c r="A555" t="s">
        <v>595</v>
      </c>
      <c r="G555">
        <v>3</v>
      </c>
      <c r="H555">
        <v>0.75</v>
      </c>
    </row>
    <row r="556" spans="1:8" hidden="1" x14ac:dyDescent="0.25">
      <c r="A556" t="s">
        <v>596</v>
      </c>
      <c r="G556">
        <v>19</v>
      </c>
      <c r="H556">
        <v>3.8</v>
      </c>
    </row>
    <row r="557" spans="1:8" hidden="1" x14ac:dyDescent="0.25">
      <c r="A557" t="s">
        <v>597</v>
      </c>
      <c r="G557">
        <v>75</v>
      </c>
      <c r="H557">
        <v>4.6875</v>
      </c>
    </row>
    <row r="558" spans="1:8" hidden="1" x14ac:dyDescent="0.25">
      <c r="A558" t="s">
        <v>598</v>
      </c>
      <c r="G558">
        <v>1</v>
      </c>
      <c r="H558">
        <v>1</v>
      </c>
    </row>
    <row r="559" spans="1:8" hidden="1" x14ac:dyDescent="0.25">
      <c r="A559" t="s">
        <v>599</v>
      </c>
      <c r="G559">
        <v>33</v>
      </c>
      <c r="H559">
        <v>6.6</v>
      </c>
    </row>
    <row r="560" spans="1:8" hidden="1" x14ac:dyDescent="0.25">
      <c r="A560" t="s">
        <v>600</v>
      </c>
      <c r="G560">
        <v>12</v>
      </c>
      <c r="H560">
        <v>1.71428571428571</v>
      </c>
    </row>
    <row r="561" spans="1:8" hidden="1" x14ac:dyDescent="0.25">
      <c r="A561" t="s">
        <v>601</v>
      </c>
      <c r="G561">
        <v>1</v>
      </c>
      <c r="H561">
        <v>1</v>
      </c>
    </row>
    <row r="562" spans="1:8" hidden="1" x14ac:dyDescent="0.25">
      <c r="A562" t="s">
        <v>602</v>
      </c>
      <c r="G562">
        <v>0</v>
      </c>
      <c r="H562">
        <v>0</v>
      </c>
    </row>
    <row r="563" spans="1:8" hidden="1" x14ac:dyDescent="0.25">
      <c r="A563" t="s">
        <v>603</v>
      </c>
      <c r="G563">
        <v>1</v>
      </c>
      <c r="H563">
        <v>1</v>
      </c>
    </row>
    <row r="564" spans="1:8" hidden="1" x14ac:dyDescent="0.25">
      <c r="A564" t="s">
        <v>604</v>
      </c>
      <c r="G564">
        <v>18</v>
      </c>
      <c r="H564">
        <v>2.5714285714285698</v>
      </c>
    </row>
    <row r="565" spans="1:8" hidden="1" x14ac:dyDescent="0.25">
      <c r="A565" t="s">
        <v>605</v>
      </c>
      <c r="G565">
        <v>99</v>
      </c>
      <c r="H565">
        <v>9</v>
      </c>
    </row>
    <row r="566" spans="1:8" hidden="1" x14ac:dyDescent="0.25">
      <c r="A566" t="s">
        <v>606</v>
      </c>
      <c r="G566">
        <v>65</v>
      </c>
      <c r="H566">
        <v>7.2222222222222197</v>
      </c>
    </row>
    <row r="567" spans="1:8" hidden="1" x14ac:dyDescent="0.25">
      <c r="A567" t="s">
        <v>607</v>
      </c>
      <c r="G567">
        <v>37</v>
      </c>
      <c r="H567">
        <v>5.2857142857142803</v>
      </c>
    </row>
    <row r="568" spans="1:8" hidden="1" x14ac:dyDescent="0.25">
      <c r="A568" t="s">
        <v>608</v>
      </c>
      <c r="G568">
        <v>3</v>
      </c>
      <c r="H568">
        <v>1.5</v>
      </c>
    </row>
  </sheetData>
  <autoFilter ref="A1:H568" xr:uid="{92AF074B-3FFD-4F55-8C4E-7CB5CD98956B}">
    <filterColumn colId="2">
      <filters>
        <filter val="R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2022-04-14T18:13:44.6567600Z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b89ed8b9-6d07-4108-8471-e7240201e64b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